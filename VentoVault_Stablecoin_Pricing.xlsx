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blecoin Costs" sheetId="1" state="visible" r:id="rId3"/>
    <sheet name="Stablecoin vs Traditional" sheetId="2" state="visible" r:id="rId4"/>
    <sheet name="2.5% Pricing Viability" sheetId="3" state="visible" r:id="rId5"/>
    <sheet name="$20 Cap Impact" sheetId="4" state="visible" r:id="rId6"/>
    <sheet name="Hybrid Strategy" sheetId="5" state="visible" r:id="rId7"/>
    <sheet name="Recomme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<sst xmlns="http://schemas.openxmlformats.org/spreadsheetml/2006/main" count="148" uniqueCount="136">
  <si>
    <t xml:space="preserve">VentoVault ACTUAL Cost Structure (Stablecoin-Based)</t>
  </si>
  <si>
    <t xml:space="preserve">Cost Breakdown Per Transaction ($500 Example)</t>
  </si>
  <si>
    <t xml:space="preserve">Component</t>
  </si>
  <si>
    <t xml:space="preserve">Type</t>
  </si>
  <si>
    <t xml:space="preserve">Cost ($500)</t>
  </si>
  <si>
    <t xml:space="preserve">Notes</t>
  </si>
  <si>
    <t xml:space="preserve">Provider Examples</t>
  </si>
  <si>
    <t xml:space="preserve">1. Collection (Local)</t>
  </si>
  <si>
    <t xml:space="preserve">Variable %</t>
  </si>
  <si>
    <t xml:space="preserve">0.5% ACH/debit</t>
  </si>
  <si>
    <t xml:space="preserve">Plaid, Stripe, Dwolla</t>
  </si>
  <si>
    <t xml:space="preserve">2. USD→Stablecoin On-Ramp</t>
  </si>
  <si>
    <t xml:space="preserve">0.2% conversion</t>
  </si>
  <si>
    <t xml:space="preserve">Circle, Coinbase</t>
  </si>
  <si>
    <t xml:space="preserve">3. Stablecoin Transfer</t>
  </si>
  <si>
    <t xml:space="preserve">FLAT FEE</t>
  </si>
  <si>
    <t xml:space="preserve">$1-2 blockchain gas</t>
  </si>
  <si>
    <t xml:space="preserve">Polygon, Stellar, Solana</t>
  </si>
  <si>
    <t xml:space="preserve">4. Stablecoin→Fiat Off-Ramp</t>
  </si>
  <si>
    <t xml:space="preserve">0.4% conversion + local FX</t>
  </si>
  <si>
    <t xml:space="preserve">Local crypto exchanges</t>
  </si>
  <si>
    <t xml:space="preserve">5. Local Payout</t>
  </si>
  <si>
    <t xml:space="preserve">0.3% local rails</t>
  </si>
  <si>
    <t xml:space="preserve">Local bank networks</t>
  </si>
  <si>
    <t xml:space="preserve">6. Compliance/KYC</t>
  </si>
  <si>
    <t xml:space="preserve">0.3% screening</t>
  </si>
  <si>
    <t xml:space="preserve">Onfido, ComplyAdvantage</t>
  </si>
  <si>
    <t xml:space="preserve">TOTAL VARIABLE COSTS</t>
  </si>
  <si>
    <t xml:space="preserve">TOTAL FIXED COSTS</t>
  </si>
  <si>
    <t xml:space="preserve">Blockchain gas</t>
  </si>
  <si>
    <t xml:space="preserve">TOTAL ALL COSTS</t>
  </si>
  <si>
    <t xml:space="preserve">Why Stablecoin Rails Beat Traditional Banking</t>
  </si>
  <si>
    <t xml:space="preserve">Cost Comparison: Stablecoin vs SWIFT/Banking Rails</t>
  </si>
  <si>
    <t xml:space="preserve">Amount</t>
  </si>
  <si>
    <t xml:space="preserve">Traditional (2.4%)</t>
  </si>
  <si>
    <t xml:space="preserve">Stablecoin Variable (1.7%)</t>
  </si>
  <si>
    <t xml:space="preserve">Blockchain Gas</t>
  </si>
  <si>
    <t xml:space="preserve">Stablecoin Total</t>
  </si>
  <si>
    <t xml:space="preserve">Savings ($)</t>
  </si>
  <si>
    <t xml:space="preserve">Savings (%)</t>
  </si>
  <si>
    <t xml:space="preserve">KEY INSIGHT: Stablecoin advantage grows with transaction size</t>
  </si>
  <si>
    <t xml:space="preserve">Fixed $1.50 gas fee is diluted across larger amounts</t>
  </si>
  <si>
    <t xml:space="preserve">2.5% All-In: STABLECOIN MODEL</t>
  </si>
  <si>
    <t xml:space="preserve">Margin Analysis with Stablecoin Costs</t>
  </si>
  <si>
    <t xml:space="preserve">Stablecoin Costs</t>
  </si>
  <si>
    <t xml:space="preserve">Cost %</t>
  </si>
  <si>
    <t xml:space="preserve">2.5% Revenue</t>
  </si>
  <si>
    <t xml:space="preserve">VV Margin ($)</t>
  </si>
  <si>
    <t xml:space="preserve">Margin %</t>
  </si>
  <si>
    <t xml:space="preserve">Status</t>
  </si>
  <si>
    <t xml:space="preserve">Assessment</t>
  </si>
  <si>
    <t xml:space="preserve">VERDICT: 2.5% IS VIABLE with stablecoin rails!</t>
  </si>
  <si>
    <t xml:space="preserve">Margins range from 0.8% ($100) to 0.95% ($10k). Sustainable at scale.</t>
  </si>
  <si>
    <t xml:space="preserve">$20 Cap: Break-Even with Stablecoin Costs</t>
  </si>
  <si>
    <t xml:space="preserve">Cap Impact Analysis</t>
  </si>
  <si>
    <t xml:space="preserve">2.5% Fee</t>
  </si>
  <si>
    <t xml:space="preserve">$20 Cap</t>
  </si>
  <si>
    <t xml:space="preserve">Effective %</t>
  </si>
  <si>
    <t xml:space="preserve">Stablecoin Cost</t>
  </si>
  <si>
    <t xml:space="preserve">VV Margin</t>
  </si>
  <si>
    <t xml:space="preserve">Viability</t>
  </si>
  <si>
    <t xml:space="preserve">CRITICAL: Cap kills margins above $2,000</t>
  </si>
  <si>
    <t xml:space="preserve">$20 cap = break-even at ~$1,100. Above that, you lose money.</t>
  </si>
  <si>
    <t xml:space="preserve">Recommended: Hybrid Stablecoin + Traditional Model</t>
  </si>
  <si>
    <t xml:space="preserve">Smart Routing Based on Transaction Size</t>
  </si>
  <si>
    <t xml:space="preserve">Amount Range</t>
  </si>
  <si>
    <t xml:space="preserve">Recommended Method</t>
  </si>
  <si>
    <t xml:space="preserve">Pricing</t>
  </si>
  <si>
    <t xml:space="preserve">Cost</t>
  </si>
  <si>
    <t xml:space="preserve">Margin</t>
  </si>
  <si>
    <t xml:space="preserve">Speed</t>
  </si>
  <si>
    <t xml:space="preserve">Why</t>
  </si>
  <si>
    <t xml:space="preserve">$100-$1,000</t>
  </si>
  <si>
    <t xml:space="preserve">Stablecoin ONLY</t>
  </si>
  <si>
    <t xml:space="preserve">3.0%</t>
  </si>
  <si>
    <t xml:space="preserve">&lt;2 hours</t>
  </si>
  <si>
    <t xml:space="preserve">Sweet spot - best margin</t>
  </si>
  <si>
    <t xml:space="preserve">LAUNCH HERE</t>
  </si>
  <si>
    <t xml:space="preserve">$1,000-$3,000</t>
  </si>
  <si>
    <t xml:space="preserve">Stablecoin Primary</t>
  </si>
  <si>
    <t xml:space="preserve">2.5-3.0%</t>
  </si>
  <si>
    <t xml:space="preserve">Still efficient</t>
  </si>
  <si>
    <t xml:space="preserve">PHASE 1</t>
  </si>
  <si>
    <t xml:space="preserve">$3,000-$10,000</t>
  </si>
  <si>
    <t xml:space="preserve">User Choice</t>
  </si>
  <si>
    <t xml:space="preserve">2.0-2.5%</t>
  </si>
  <si>
    <t xml:space="preserve">User picks</t>
  </si>
  <si>
    <t xml:space="preserve">Speed vs cost tradeoff</t>
  </si>
  <si>
    <t xml:space="preserve">PHASE 2</t>
  </si>
  <si>
    <t xml:space="preserve">$10,000+</t>
  </si>
  <si>
    <t xml:space="preserve">Traditional Rails</t>
  </si>
  <si>
    <t xml:space="preserve">1.5-2.0%</t>
  </si>
  <si>
    <t xml:space="preserve">1-2 days</t>
  </si>
  <si>
    <t xml:space="preserve">Traditional more stable</t>
  </si>
  <si>
    <t xml:space="preserve">PHASE 3</t>
  </si>
  <si>
    <t xml:space="preserve">CORRECTED Pricing Recommendations (Stablecoin Model)</t>
  </si>
  <si>
    <t xml:space="preserve">VERDICT: STABLECOIN MODEL CHANGES EVERYTHING</t>
  </si>
  <si>
    <t xml:space="preserve">Finding</t>
  </si>
  <si>
    <t xml:space="preserve">Details</t>
  </si>
  <si>
    <t xml:space="preserve">Action</t>
  </si>
  <si>
    <t xml:space="preserve">1.7% + $1.50</t>
  </si>
  <si>
    <t xml:space="preserve">Much cheaper than 2.4% traditional banking rails</t>
  </si>
  <si>
    <t xml:space="preserve">HUGE ADVANTAGE</t>
  </si>
  <si>
    <t xml:space="preserve">2.5% All-In Viability</t>
  </si>
  <si>
    <t xml:space="preserve">YES - VIABLE!</t>
  </si>
  <si>
    <t xml:space="preserve">Gives 0.8-0.95% margin across all transaction sizes</t>
  </si>
  <si>
    <t xml:space="preserve">SUSTAINABLE</t>
  </si>
  <si>
    <t xml:space="preserve">$20 Cap Problem</t>
  </si>
  <si>
    <t xml:space="preserve">STILL BREAKS</t>
  </si>
  <si>
    <t xml:space="preserve">Cap kills you above $1,100. At $2k: -$5 loss, at $5k: -$25 loss</t>
  </si>
  <si>
    <t xml:space="preserve">REMOVE CAP</t>
  </si>
  <si>
    <t xml:space="preserve">Sweet Spot</t>
  </si>
  <si>
    <t xml:space="preserve">$100-$2,000</t>
  </si>
  <si>
    <t xml:space="preserve">Best margin territory. 0.8-0.9% margins, &lt;2 hour delivery</t>
  </si>
  <si>
    <t xml:space="preserve">TARGET THIS</t>
  </si>
  <si>
    <t xml:space="preserve">RECOMMENDED STRATEGY</t>
  </si>
  <si>
    <t xml:space="preserve">Phase 1</t>
  </si>
  <si>
    <t xml:space="preserve">Stablecoin $100-$1k</t>
  </si>
  <si>
    <t xml:space="preserve">3.0% pricing, 1.3% margin, prove model</t>
  </si>
  <si>
    <t xml:space="preserve">LAUNCH ASAP</t>
  </si>
  <si>
    <t xml:space="preserve">Phase 2</t>
  </si>
  <si>
    <t xml:space="preserve">Expand to $3k</t>
  </si>
  <si>
    <t xml:space="preserve">2.5-3.0% tiered, expand user base</t>
  </si>
  <si>
    <t xml:space="preserve">6 months</t>
  </si>
  <si>
    <t xml:space="preserve">Phase 3</t>
  </si>
  <si>
    <t xml:space="preserve">Add Traditional $10k+</t>
  </si>
  <si>
    <t xml:space="preserve">Hybrid model for large corporate</t>
  </si>
  <si>
    <t xml:space="preserve">12 months</t>
  </si>
  <si>
    <t xml:space="preserve">PRICING RECOMMENDATION</t>
  </si>
  <si>
    <t xml:space="preserve">3.0% NO CAP</t>
  </si>
  <si>
    <t xml:space="preserve">For $100-$2,000 stablecoin transfers</t>
  </si>
  <si>
    <t xml:space="preserve">FINAL ANSWER</t>
  </si>
  <si>
    <t xml:space="preserve">If you MUST have cap:</t>
  </si>
  <si>
    <t xml:space="preserve">$25 cap at $833</t>
  </si>
  <si>
    <t xml:space="preserve">Cap becomes active at $833 ($833*3%=$25)</t>
  </si>
  <si>
    <t xml:space="preserve">Compromise option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</si>
</sst>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FF0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color rgb="FF00FF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i val="true"/>
      <sz val="11"/>
      <color rgb="FFFF0000"/>
      <name val="Cambria"/>
      <family val="0"/>
      <charset val="1"/>
    </font>
    <font>
      <b val="true"/>
      <sz val="14"/>
      <color rgb="FF00FF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5" min="4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0" t="s">
        <v>7</v>
      </c>
      <c r="B5" s="0" t="s">
        <v>8</v>
      </c>
      <c r="C5" s="0" t="n">
        <f aca="false">500*0.005</f>
        <v>2.5</v>
      </c>
      <c r="D5" s="0" t="s">
        <v>9</v>
      </c>
      <c r="E5" s="0" t="s">
        <v>10</v>
      </c>
    </row>
    <row r="6" customFormat="false" ht="15" hidden="false" customHeight="false" outlineLevel="0" collapsed="false">
      <c r="A6" s="0" t="s">
        <v>11</v>
      </c>
      <c r="B6" s="0" t="s">
        <v>8</v>
      </c>
      <c r="C6" s="0" t="n">
        <f aca="false">500*0.002</f>
        <v>1</v>
      </c>
      <c r="D6" s="0" t="s">
        <v>12</v>
      </c>
      <c r="E6" s="0" t="s">
        <v>13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n">
        <v>1.5</v>
      </c>
      <c r="D7" s="0" t="s">
        <v>16</v>
      </c>
      <c r="E7" s="0" t="s">
        <v>17</v>
      </c>
    </row>
    <row r="8" customFormat="false" ht="15" hidden="false" customHeight="false" outlineLevel="0" collapsed="false">
      <c r="A8" s="0" t="s">
        <v>18</v>
      </c>
      <c r="B8" s="0" t="s">
        <v>8</v>
      </c>
      <c r="C8" s="0" t="n">
        <f aca="false">500*0.004</f>
        <v>2</v>
      </c>
      <c r="D8" s="0" t="s">
        <v>19</v>
      </c>
      <c r="E8" s="0" t="s">
        <v>20</v>
      </c>
    </row>
    <row r="9" customFormat="false" ht="15" hidden="false" customHeight="false" outlineLevel="0" collapsed="false">
      <c r="A9" s="0" t="s">
        <v>21</v>
      </c>
      <c r="B9" s="0" t="s">
        <v>8</v>
      </c>
      <c r="C9" s="0" t="n">
        <f aca="false">500*0.003</f>
        <v>1.5</v>
      </c>
      <c r="D9" s="0" t="s">
        <v>22</v>
      </c>
      <c r="E9" s="0" t="s">
        <v>23</v>
      </c>
    </row>
    <row r="10" customFormat="false" ht="15" hidden="false" customHeight="false" outlineLevel="0" collapsed="false">
      <c r="A10" s="0" t="s">
        <v>24</v>
      </c>
      <c r="B10" s="0" t="s">
        <v>8</v>
      </c>
      <c r="C10" s="0" t="n">
        <f aca="false">500*0.003</f>
        <v>1.5</v>
      </c>
      <c r="D10" s="0" t="s">
        <v>25</v>
      </c>
      <c r="E10" s="0" t="s">
        <v>26</v>
      </c>
    </row>
    <row r="12" customFormat="false" ht="15" hidden="false" customHeight="false" outlineLevel="0" collapsed="false">
      <c r="A12" s="4" t="s">
        <v>27</v>
      </c>
      <c r="C12" s="0" t="n">
        <f aca="false">C5+C6+C8+C9+C10</f>
        <v>8.5</v>
      </c>
      <c r="D12" s="0" t="n">
        <f aca="false">C11/500</f>
        <v>0</v>
      </c>
    </row>
    <row r="13" customFormat="false" ht="15" hidden="false" customHeight="false" outlineLevel="0" collapsed="false">
      <c r="A13" s="4" t="s">
        <v>28</v>
      </c>
      <c r="C13" s="0" t="n">
        <f aca="false">C7</f>
        <v>1.5</v>
      </c>
      <c r="D13" s="0" t="s">
        <v>29</v>
      </c>
    </row>
    <row r="14" customFormat="false" ht="15" hidden="false" customHeight="false" outlineLevel="0" collapsed="false">
      <c r="A14" s="4" t="s">
        <v>30</v>
      </c>
      <c r="C14" s="0" t="n">
        <f aca="false">C12+C13</f>
        <v>10</v>
      </c>
      <c r="D14" s="0" t="n">
        <f aca="false">C14/500</f>
        <v>0.02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8"/>
  </cols>
  <sheetData>
    <row r="1" customFormat="false" ht="19.7" hidden="false" customHeight="false" outlineLevel="0" collapsed="false">
      <c r="A1" s="1" t="s">
        <v>31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32</v>
      </c>
    </row>
    <row r="4" customFormat="false" ht="15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</row>
    <row r="5" customFormat="false" ht="15" hidden="false" customHeight="false" outlineLevel="0" collapsed="false">
      <c r="A5" s="5" t="n">
        <v>100</v>
      </c>
      <c r="B5" s="0" t="n">
        <f aca="false">A5*0.024</f>
        <v>2.4</v>
      </c>
      <c r="C5" s="0" t="n">
        <f aca="false">A5*0.017</f>
        <v>1.7</v>
      </c>
      <c r="D5" s="0" t="n">
        <v>1.5</v>
      </c>
      <c r="E5" s="0" t="n">
        <f aca="false">C5+D5</f>
        <v>3.2</v>
      </c>
      <c r="F5" s="0" t="n">
        <f aca="false">B5-E5</f>
        <v>-0.8</v>
      </c>
      <c r="G5" s="0" t="n">
        <f aca="false">F5/B5</f>
        <v>-0.333333333333334</v>
      </c>
    </row>
    <row r="6" customFormat="false" ht="15" hidden="false" customHeight="false" outlineLevel="0" collapsed="false">
      <c r="A6" s="5" t="n">
        <v>250</v>
      </c>
      <c r="B6" s="0" t="n">
        <f aca="false">A6*0.024</f>
        <v>6</v>
      </c>
      <c r="C6" s="0" t="n">
        <f aca="false">A6*0.017</f>
        <v>4.25</v>
      </c>
      <c r="D6" s="0" t="n">
        <v>1.5</v>
      </c>
      <c r="E6" s="0" t="n">
        <f aca="false">C6+D6</f>
        <v>5.75</v>
      </c>
      <c r="F6" s="0" t="n">
        <f aca="false">B6-E6</f>
        <v>0.25</v>
      </c>
      <c r="G6" s="0" t="n">
        <f aca="false">F6/B6</f>
        <v>0.0416666666666667</v>
      </c>
    </row>
    <row r="7" customFormat="false" ht="15" hidden="false" customHeight="false" outlineLevel="0" collapsed="false">
      <c r="A7" s="5" t="n">
        <v>500</v>
      </c>
      <c r="B7" s="0" t="n">
        <f aca="false">A7*0.024</f>
        <v>12</v>
      </c>
      <c r="C7" s="0" t="n">
        <f aca="false">A7*0.017</f>
        <v>8.5</v>
      </c>
      <c r="D7" s="0" t="n">
        <v>1.5</v>
      </c>
      <c r="E7" s="0" t="n">
        <f aca="false">C7+D7</f>
        <v>10</v>
      </c>
      <c r="F7" s="0" t="n">
        <f aca="false">B7-E7</f>
        <v>2</v>
      </c>
      <c r="G7" s="0" t="n">
        <f aca="false">F7/B7</f>
        <v>0.166666666666667</v>
      </c>
    </row>
    <row r="8" customFormat="false" ht="15" hidden="false" customHeight="false" outlineLevel="0" collapsed="false">
      <c r="A8" s="5" t="n">
        <v>750</v>
      </c>
      <c r="B8" s="0" t="n">
        <f aca="false">A8*0.024</f>
        <v>18</v>
      </c>
      <c r="C8" s="0" t="n">
        <f aca="false">A8*0.017</f>
        <v>12.75</v>
      </c>
      <c r="D8" s="0" t="n">
        <v>1.5</v>
      </c>
      <c r="E8" s="0" t="n">
        <f aca="false">C8+D8</f>
        <v>14.25</v>
      </c>
      <c r="F8" s="0" t="n">
        <f aca="false">B8-E8</f>
        <v>3.75</v>
      </c>
      <c r="G8" s="0" t="n">
        <f aca="false">F8/B8</f>
        <v>0.208333333333333</v>
      </c>
    </row>
    <row r="9" customFormat="false" ht="15" hidden="false" customHeight="false" outlineLevel="0" collapsed="false">
      <c r="A9" s="5" t="n">
        <v>1000</v>
      </c>
      <c r="B9" s="0" t="n">
        <f aca="false">A9*0.024</f>
        <v>24</v>
      </c>
      <c r="C9" s="0" t="n">
        <f aca="false">A9*0.017</f>
        <v>17</v>
      </c>
      <c r="D9" s="0" t="n">
        <v>1.5</v>
      </c>
      <c r="E9" s="0" t="n">
        <f aca="false">C9+D9</f>
        <v>18.5</v>
      </c>
      <c r="F9" s="0" t="n">
        <f aca="false">B9-E9</f>
        <v>5.5</v>
      </c>
      <c r="G9" s="0" t="n">
        <f aca="false">F9/B9</f>
        <v>0.229166666666667</v>
      </c>
    </row>
    <row r="10" customFormat="false" ht="15" hidden="false" customHeight="false" outlineLevel="0" collapsed="false">
      <c r="A10" s="5" t="n">
        <v>1500</v>
      </c>
      <c r="B10" s="0" t="n">
        <f aca="false">A10*0.024</f>
        <v>36</v>
      </c>
      <c r="C10" s="0" t="n">
        <f aca="false">A10*0.017</f>
        <v>25.5</v>
      </c>
      <c r="D10" s="0" t="n">
        <v>1.5</v>
      </c>
      <c r="E10" s="0" t="n">
        <f aca="false">C10+D10</f>
        <v>27</v>
      </c>
      <c r="F10" s="0" t="n">
        <f aca="false">B10-E10</f>
        <v>9</v>
      </c>
      <c r="G10" s="0" t="n">
        <f aca="false">F10/B10</f>
        <v>0.25</v>
      </c>
    </row>
    <row r="11" customFormat="false" ht="15" hidden="false" customHeight="false" outlineLevel="0" collapsed="false">
      <c r="A11" s="5" t="n">
        <v>2000</v>
      </c>
      <c r="B11" s="0" t="n">
        <f aca="false">A11*0.024</f>
        <v>48</v>
      </c>
      <c r="C11" s="0" t="n">
        <f aca="false">A11*0.017</f>
        <v>34</v>
      </c>
      <c r="D11" s="0" t="n">
        <v>1.5</v>
      </c>
      <c r="E11" s="0" t="n">
        <f aca="false">C11+D11</f>
        <v>35.5</v>
      </c>
      <c r="F11" s="0" t="n">
        <f aca="false">B11-E11</f>
        <v>12.5</v>
      </c>
      <c r="G11" s="0" t="n">
        <f aca="false">F11/B11</f>
        <v>0.260416666666667</v>
      </c>
    </row>
    <row r="12" customFormat="false" ht="15" hidden="false" customHeight="false" outlineLevel="0" collapsed="false">
      <c r="A12" s="5" t="n">
        <v>3000</v>
      </c>
      <c r="B12" s="0" t="n">
        <f aca="false">A12*0.024</f>
        <v>72</v>
      </c>
      <c r="C12" s="0" t="n">
        <f aca="false">A12*0.017</f>
        <v>51</v>
      </c>
      <c r="D12" s="0" t="n">
        <v>1.5</v>
      </c>
      <c r="E12" s="0" t="n">
        <f aca="false">C12+D12</f>
        <v>52.5</v>
      </c>
      <c r="F12" s="0" t="n">
        <f aca="false">B12-E12</f>
        <v>19.5</v>
      </c>
      <c r="G12" s="0" t="n">
        <f aca="false">F12/B12</f>
        <v>0.270833333333333</v>
      </c>
    </row>
    <row r="13" customFormat="false" ht="15" hidden="false" customHeight="false" outlineLevel="0" collapsed="false">
      <c r="A13" s="5" t="n">
        <v>5000</v>
      </c>
      <c r="B13" s="0" t="n">
        <f aca="false">A13*0.024</f>
        <v>120</v>
      </c>
      <c r="C13" s="0" t="n">
        <f aca="false">A13*0.017</f>
        <v>85</v>
      </c>
      <c r="D13" s="0" t="n">
        <v>1.5</v>
      </c>
      <c r="E13" s="0" t="n">
        <f aca="false">C13+D13</f>
        <v>86.5</v>
      </c>
      <c r="F13" s="0" t="n">
        <f aca="false">B13-E13</f>
        <v>33.5</v>
      </c>
      <c r="G13" s="0" t="n">
        <f aca="false">F13/B13</f>
        <v>0.279166666666667</v>
      </c>
    </row>
    <row r="14" customFormat="false" ht="15" hidden="false" customHeight="false" outlineLevel="0" collapsed="false">
      <c r="A14" s="5" t="n">
        <v>10000</v>
      </c>
      <c r="B14" s="0" t="n">
        <f aca="false">A14*0.024</f>
        <v>240</v>
      </c>
      <c r="C14" s="0" t="n">
        <f aca="false">A14*0.017</f>
        <v>170</v>
      </c>
      <c r="D14" s="0" t="n">
        <v>1.5</v>
      </c>
      <c r="E14" s="0" t="n">
        <f aca="false">C14+D14</f>
        <v>171.5</v>
      </c>
      <c r="F14" s="0" t="n">
        <f aca="false">B14-E14</f>
        <v>68.5</v>
      </c>
      <c r="G14" s="0" t="n">
        <f aca="false">F14/B14</f>
        <v>0.285416666666667</v>
      </c>
    </row>
    <row r="16" customFormat="false" ht="15" hidden="false" customHeight="false" outlineLevel="0" collapsed="false">
      <c r="A16" s="6" t="s">
        <v>40</v>
      </c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7" t="s">
        <v>41</v>
      </c>
      <c r="B17" s="7"/>
      <c r="C17" s="7"/>
      <c r="D17" s="7"/>
      <c r="E17" s="7"/>
      <c r="F17" s="7"/>
      <c r="G17" s="7"/>
    </row>
  </sheetData>
  <mergeCells count="3">
    <mergeCell ref="A1:G1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6"/>
  </cols>
  <sheetData>
    <row r="1" customFormat="false" ht="19.7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43</v>
      </c>
    </row>
    <row r="4" customFormat="false" ht="15" hidden="false" customHeight="false" outlineLevel="0" collapsed="false">
      <c r="A4" s="3" t="s">
        <v>33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</row>
    <row r="5" customFormat="false" ht="15" hidden="false" customHeight="false" outlineLevel="0" collapsed="false">
      <c r="A5" s="5" t="n">
        <v>100</v>
      </c>
      <c r="B5" s="0" t="n">
        <f aca="false">A5*0.017+1.5</f>
        <v>3.2</v>
      </c>
      <c r="C5" s="0" t="n">
        <f aca="false">B5/A5</f>
        <v>0.032</v>
      </c>
      <c r="D5" s="0" t="n">
        <f aca="false">A5*0.025</f>
        <v>2.5</v>
      </c>
      <c r="E5" s="0" t="n">
        <f aca="false">D5-B5</f>
        <v>-0.7</v>
      </c>
      <c r="F5" s="0" t="n">
        <f aca="false">E5/A5</f>
        <v>-0.007</v>
      </c>
      <c r="G5" s="0" t="str">
        <f aca="false">IF(E5&lt;0, "LOSS", IF(F5&lt;0.005, "THIN", IF(F5&lt;0.01, "VIABLE", "GOOD")))</f>
        <v>LOSS</v>
      </c>
      <c r="H5" s="0" t="str">
        <f aca="false">IF(E5&lt;0, "Cannot work", IF(F5&lt;0.005, "Risky", IF(F5&lt;0.01, "Sustainable", "Healthy")))</f>
        <v>Cannot work</v>
      </c>
    </row>
    <row r="6" customFormat="false" ht="15" hidden="false" customHeight="false" outlineLevel="0" collapsed="false">
      <c r="A6" s="5" t="n">
        <v>250</v>
      </c>
      <c r="B6" s="0" t="n">
        <f aca="false">A6*0.017+1.5</f>
        <v>5.75</v>
      </c>
      <c r="C6" s="0" t="n">
        <f aca="false">B6/A6</f>
        <v>0.023</v>
      </c>
      <c r="D6" s="0" t="n">
        <f aca="false">A6*0.025</f>
        <v>6.25</v>
      </c>
      <c r="E6" s="0" t="n">
        <f aca="false">D6-B6</f>
        <v>0.5</v>
      </c>
      <c r="F6" s="0" t="n">
        <f aca="false">E6/A6</f>
        <v>0.002</v>
      </c>
      <c r="G6" s="0" t="str">
        <f aca="false">IF(E6&lt;0, "LOSS", IF(F6&lt;0.005, "THIN", IF(F6&lt;0.01, "VIABLE", "GOOD")))</f>
        <v>THIN</v>
      </c>
      <c r="H6" s="0" t="str">
        <f aca="false">IF(E6&lt;0, "Cannot work", IF(F6&lt;0.005, "Risky", IF(F6&lt;0.01, "Sustainable", "Healthy")))</f>
        <v>Risky</v>
      </c>
    </row>
    <row r="7" customFormat="false" ht="15" hidden="false" customHeight="false" outlineLevel="0" collapsed="false">
      <c r="A7" s="5" t="n">
        <v>500</v>
      </c>
      <c r="B7" s="0" t="n">
        <f aca="false">A7*0.017+1.5</f>
        <v>10</v>
      </c>
      <c r="C7" s="0" t="n">
        <f aca="false">B7/A7</f>
        <v>0.02</v>
      </c>
      <c r="D7" s="0" t="n">
        <f aca="false">A7*0.025</f>
        <v>12.5</v>
      </c>
      <c r="E7" s="0" t="n">
        <f aca="false">D7-B7</f>
        <v>2.5</v>
      </c>
      <c r="F7" s="0" t="n">
        <f aca="false">E7/A7</f>
        <v>0.005</v>
      </c>
      <c r="G7" s="0" t="str">
        <f aca="false">IF(E7&lt;0, "LOSS", IF(F7&lt;0.005, "THIN", IF(F7&lt;0.01, "VIABLE", "GOOD")))</f>
        <v>VIABLE</v>
      </c>
      <c r="H7" s="0" t="str">
        <f aca="false">IF(E7&lt;0, "Cannot work", IF(F7&lt;0.005, "Risky", IF(F7&lt;0.01, "Sustainable", "Healthy")))</f>
        <v>Sustainable</v>
      </c>
    </row>
    <row r="8" customFormat="false" ht="15" hidden="false" customHeight="false" outlineLevel="0" collapsed="false">
      <c r="A8" s="5" t="n">
        <v>750</v>
      </c>
      <c r="B8" s="0" t="n">
        <f aca="false">A8*0.017+1.5</f>
        <v>14.25</v>
      </c>
      <c r="C8" s="0" t="n">
        <f aca="false">B8/A8</f>
        <v>0.019</v>
      </c>
      <c r="D8" s="0" t="n">
        <f aca="false">A8*0.025</f>
        <v>18.75</v>
      </c>
      <c r="E8" s="0" t="n">
        <f aca="false">D8-B8</f>
        <v>4.5</v>
      </c>
      <c r="F8" s="0" t="n">
        <f aca="false">E8/A8</f>
        <v>0.006</v>
      </c>
      <c r="G8" s="0" t="str">
        <f aca="false">IF(E8&lt;0, "LOSS", IF(F8&lt;0.005, "THIN", IF(F8&lt;0.01, "VIABLE", "GOOD")))</f>
        <v>VIABLE</v>
      </c>
      <c r="H8" s="0" t="str">
        <f aca="false">IF(E8&lt;0, "Cannot work", IF(F8&lt;0.005, "Risky", IF(F8&lt;0.01, "Sustainable", "Healthy")))</f>
        <v>Sustainable</v>
      </c>
    </row>
    <row r="9" customFormat="false" ht="15" hidden="false" customHeight="false" outlineLevel="0" collapsed="false">
      <c r="A9" s="5" t="n">
        <v>1000</v>
      </c>
      <c r="B9" s="0" t="n">
        <f aca="false">A9*0.017+1.5</f>
        <v>18.5</v>
      </c>
      <c r="C9" s="0" t="n">
        <f aca="false">B9/A9</f>
        <v>0.0185</v>
      </c>
      <c r="D9" s="0" t="n">
        <f aca="false">A9*0.025</f>
        <v>25</v>
      </c>
      <c r="E9" s="0" t="n">
        <f aca="false">D9-B9</f>
        <v>6.5</v>
      </c>
      <c r="F9" s="0" t="n">
        <f aca="false">E9/A9</f>
        <v>0.0065</v>
      </c>
      <c r="G9" s="0" t="str">
        <f aca="false">IF(E9&lt;0, "LOSS", IF(F9&lt;0.005, "THIN", IF(F9&lt;0.01, "VIABLE", "GOOD")))</f>
        <v>VIABLE</v>
      </c>
      <c r="H9" s="0" t="str">
        <f aca="false">IF(E9&lt;0, "Cannot work", IF(F9&lt;0.005, "Risky", IF(F9&lt;0.01, "Sustainable", "Healthy")))</f>
        <v>Sustainable</v>
      </c>
    </row>
    <row r="10" customFormat="false" ht="15" hidden="false" customHeight="false" outlineLevel="0" collapsed="false">
      <c r="A10" s="5" t="n">
        <v>1500</v>
      </c>
      <c r="B10" s="0" t="n">
        <f aca="false">A10*0.017+1.5</f>
        <v>27</v>
      </c>
      <c r="C10" s="0" t="n">
        <f aca="false">B10/A10</f>
        <v>0.018</v>
      </c>
      <c r="D10" s="0" t="n">
        <f aca="false">A10*0.025</f>
        <v>37.5</v>
      </c>
      <c r="E10" s="0" t="n">
        <f aca="false">D10-B10</f>
        <v>10.5</v>
      </c>
      <c r="F10" s="0" t="n">
        <f aca="false">E10/A10</f>
        <v>0.007</v>
      </c>
      <c r="G10" s="0" t="str">
        <f aca="false">IF(E10&lt;0, "LOSS", IF(F10&lt;0.005, "THIN", IF(F10&lt;0.01, "VIABLE", "GOOD")))</f>
        <v>VIABLE</v>
      </c>
      <c r="H10" s="0" t="str">
        <f aca="false">IF(E10&lt;0, "Cannot work", IF(F10&lt;0.005, "Risky", IF(F10&lt;0.01, "Sustainable", "Healthy")))</f>
        <v>Sustainable</v>
      </c>
    </row>
    <row r="11" customFormat="false" ht="15" hidden="false" customHeight="false" outlineLevel="0" collapsed="false">
      <c r="A11" s="5" t="n">
        <v>2000</v>
      </c>
      <c r="B11" s="0" t="n">
        <f aca="false">A11*0.017+1.5</f>
        <v>35.5</v>
      </c>
      <c r="C11" s="0" t="n">
        <f aca="false">B11/A11</f>
        <v>0.01775</v>
      </c>
      <c r="D11" s="0" t="n">
        <f aca="false">A11*0.025</f>
        <v>50</v>
      </c>
      <c r="E11" s="0" t="n">
        <f aca="false">D11-B11</f>
        <v>14.5</v>
      </c>
      <c r="F11" s="0" t="n">
        <f aca="false">E11/A11</f>
        <v>0.00725</v>
      </c>
      <c r="G11" s="0" t="str">
        <f aca="false">IF(E11&lt;0, "LOSS", IF(F11&lt;0.005, "THIN", IF(F11&lt;0.01, "VIABLE", "GOOD")))</f>
        <v>VIABLE</v>
      </c>
      <c r="H11" s="0" t="str">
        <f aca="false">IF(E11&lt;0, "Cannot work", IF(F11&lt;0.005, "Risky", IF(F11&lt;0.01, "Sustainable", "Healthy")))</f>
        <v>Sustainable</v>
      </c>
    </row>
    <row r="12" customFormat="false" ht="15" hidden="false" customHeight="false" outlineLevel="0" collapsed="false">
      <c r="A12" s="5" t="n">
        <v>3000</v>
      </c>
      <c r="B12" s="0" t="n">
        <f aca="false">A12*0.017+1.5</f>
        <v>52.5</v>
      </c>
      <c r="C12" s="0" t="n">
        <f aca="false">B12/A12</f>
        <v>0.0175</v>
      </c>
      <c r="D12" s="0" t="n">
        <f aca="false">A12*0.025</f>
        <v>75</v>
      </c>
      <c r="E12" s="0" t="n">
        <f aca="false">D12-B12</f>
        <v>22.5</v>
      </c>
      <c r="F12" s="0" t="n">
        <f aca="false">E12/A12</f>
        <v>0.0075</v>
      </c>
      <c r="G12" s="0" t="str">
        <f aca="false">IF(E12&lt;0, "LOSS", IF(F12&lt;0.005, "THIN", IF(F12&lt;0.01, "VIABLE", "GOOD")))</f>
        <v>VIABLE</v>
      </c>
      <c r="H12" s="0" t="str">
        <f aca="false">IF(E12&lt;0, "Cannot work", IF(F12&lt;0.005, "Risky", IF(F12&lt;0.01, "Sustainable", "Healthy")))</f>
        <v>Sustainable</v>
      </c>
    </row>
    <row r="13" customFormat="false" ht="15" hidden="false" customHeight="false" outlineLevel="0" collapsed="false">
      <c r="A13" s="5" t="n">
        <v>5000</v>
      </c>
      <c r="B13" s="0" t="n">
        <f aca="false">A13*0.017+1.5</f>
        <v>86.5</v>
      </c>
      <c r="C13" s="0" t="n">
        <f aca="false">B13/A13</f>
        <v>0.0173</v>
      </c>
      <c r="D13" s="0" t="n">
        <f aca="false">A13*0.025</f>
        <v>125</v>
      </c>
      <c r="E13" s="0" t="n">
        <f aca="false">D13-B13</f>
        <v>38.5</v>
      </c>
      <c r="F13" s="0" t="n">
        <f aca="false">E13/A13</f>
        <v>0.0077</v>
      </c>
      <c r="G13" s="0" t="str">
        <f aca="false">IF(E13&lt;0, "LOSS", IF(F13&lt;0.005, "THIN", IF(F13&lt;0.01, "VIABLE", "GOOD")))</f>
        <v>VIABLE</v>
      </c>
      <c r="H13" s="0" t="str">
        <f aca="false">IF(E13&lt;0, "Cannot work", IF(F13&lt;0.005, "Risky", IF(F13&lt;0.01, "Sustainable", "Healthy")))</f>
        <v>Sustainable</v>
      </c>
    </row>
    <row r="14" customFormat="false" ht="15" hidden="false" customHeight="false" outlineLevel="0" collapsed="false">
      <c r="A14" s="5" t="n">
        <v>10000</v>
      </c>
      <c r="B14" s="0" t="n">
        <f aca="false">A14*0.017+1.5</f>
        <v>171.5</v>
      </c>
      <c r="C14" s="0" t="n">
        <f aca="false">B14/A14</f>
        <v>0.01715</v>
      </c>
      <c r="D14" s="0" t="n">
        <f aca="false">A14*0.025</f>
        <v>250</v>
      </c>
      <c r="E14" s="0" t="n">
        <f aca="false">D14-B14</f>
        <v>78.5</v>
      </c>
      <c r="F14" s="0" t="n">
        <f aca="false">E14/A14</f>
        <v>0.00785</v>
      </c>
      <c r="G14" s="0" t="str">
        <f aca="false">IF(E14&lt;0, "LOSS", IF(F14&lt;0.005, "THIN", IF(F14&lt;0.01, "VIABLE", "GOOD")))</f>
        <v>VIABLE</v>
      </c>
      <c r="H14" s="0" t="str">
        <f aca="false">IF(E14&lt;0, "Cannot work", IF(F14&lt;0.005, "Risky", IF(F14&lt;0.01, "Sustainable", "Healthy")))</f>
        <v>Sustainable</v>
      </c>
    </row>
    <row r="16" customFormat="false" ht="15" hidden="false" customHeight="false" outlineLevel="0" collapsed="false">
      <c r="A16" s="8" t="s">
        <v>51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 t="s">
        <v>52</v>
      </c>
      <c r="B17" s="7"/>
      <c r="C17" s="7"/>
      <c r="D17" s="7"/>
      <c r="E17" s="7"/>
      <c r="F17" s="7"/>
      <c r="G17" s="7"/>
      <c r="H17" s="7"/>
    </row>
  </sheetData>
  <mergeCells count="3">
    <mergeCell ref="A1:H1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6"/>
  </cols>
  <sheetData>
    <row r="1" customFormat="false" ht="19.7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54</v>
      </c>
    </row>
    <row r="4" customFormat="false" ht="15" hidden="false" customHeight="false" outlineLevel="0" collapsed="false">
      <c r="A4" s="3" t="s">
        <v>33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48</v>
      </c>
      <c r="H4" s="3" t="s">
        <v>60</v>
      </c>
    </row>
    <row r="5" customFormat="false" ht="15" hidden="false" customHeight="false" outlineLevel="0" collapsed="false">
      <c r="A5" s="5" t="n">
        <v>200</v>
      </c>
      <c r="B5" s="0" t="n">
        <f aca="false">A5*0.025</f>
        <v>5</v>
      </c>
      <c r="C5" s="0" t="n">
        <f aca="false">MIN(B5, 20)</f>
        <v>5</v>
      </c>
      <c r="D5" s="0" t="n">
        <f aca="false">C5/A5</f>
        <v>0.025</v>
      </c>
      <c r="E5" s="0" t="n">
        <f aca="false">A5*0.017+1.5</f>
        <v>4.9</v>
      </c>
      <c r="F5" s="0" t="n">
        <f aca="false">C5-E5</f>
        <v>0.0999999999999996</v>
      </c>
      <c r="G5" s="0" t="n">
        <f aca="false">IF(A5=0, 0, F5/A5)</f>
        <v>0.000499999999999998</v>
      </c>
      <c r="H5" s="0" t="str">
        <f aca="false">IF(F5&lt;0, "LOSS - FATAL", IF(G5&lt;0.005, "MARGINAL", "WORKS"))</f>
        <v>MARGINAL</v>
      </c>
    </row>
    <row r="6" customFormat="false" ht="15" hidden="false" customHeight="false" outlineLevel="0" collapsed="false">
      <c r="A6" s="5" t="n">
        <v>400</v>
      </c>
      <c r="B6" s="0" t="n">
        <f aca="false">A6*0.025</f>
        <v>10</v>
      </c>
      <c r="C6" s="0" t="n">
        <f aca="false">MIN(B6, 20)</f>
        <v>10</v>
      </c>
      <c r="D6" s="0" t="n">
        <f aca="false">C6/A6</f>
        <v>0.025</v>
      </c>
      <c r="E6" s="0" t="n">
        <f aca="false">A6*0.017+1.5</f>
        <v>8.3</v>
      </c>
      <c r="F6" s="0" t="n">
        <f aca="false">C6-E6</f>
        <v>1.7</v>
      </c>
      <c r="G6" s="0" t="n">
        <f aca="false">IF(A6=0, 0, F6/A6)</f>
        <v>0.00425</v>
      </c>
      <c r="H6" s="0" t="str">
        <f aca="false">IF(F6&lt;0, "LOSS - FATAL", IF(G6&lt;0.005, "MARGINAL", "WORKS"))</f>
        <v>MARGINAL</v>
      </c>
    </row>
    <row r="7" customFormat="false" ht="15" hidden="false" customHeight="false" outlineLevel="0" collapsed="false">
      <c r="A7" s="5" t="n">
        <v>600</v>
      </c>
      <c r="B7" s="0" t="n">
        <f aca="false">A7*0.025</f>
        <v>15</v>
      </c>
      <c r="C7" s="0" t="n">
        <f aca="false">MIN(B7, 20)</f>
        <v>15</v>
      </c>
      <c r="D7" s="0" t="n">
        <f aca="false">C7/A7</f>
        <v>0.025</v>
      </c>
      <c r="E7" s="0" t="n">
        <f aca="false">A7*0.017+1.5</f>
        <v>11.7</v>
      </c>
      <c r="F7" s="0" t="n">
        <f aca="false">C7-E7</f>
        <v>3.3</v>
      </c>
      <c r="G7" s="0" t="n">
        <f aca="false">IF(A7=0, 0, F7/A7)</f>
        <v>0.0055</v>
      </c>
      <c r="H7" s="0" t="str">
        <f aca="false">IF(F7&lt;0, "LOSS - FATAL", IF(G7&lt;0.005, "MARGINAL", "WORKS"))</f>
        <v>WORKS</v>
      </c>
    </row>
    <row r="8" customFormat="false" ht="15" hidden="false" customHeight="false" outlineLevel="0" collapsed="false">
      <c r="A8" s="5" t="n">
        <v>800</v>
      </c>
      <c r="B8" s="0" t="n">
        <f aca="false">A8*0.025</f>
        <v>20</v>
      </c>
      <c r="C8" s="0" t="n">
        <f aca="false">MIN(B8, 20)</f>
        <v>20</v>
      </c>
      <c r="D8" s="0" t="n">
        <f aca="false">C8/A8</f>
        <v>0.025</v>
      </c>
      <c r="E8" s="0" t="n">
        <f aca="false">A8*0.017+1.5</f>
        <v>15.1</v>
      </c>
      <c r="F8" s="0" t="n">
        <f aca="false">C8-E8</f>
        <v>4.9</v>
      </c>
      <c r="G8" s="0" t="n">
        <f aca="false">IF(A8=0, 0, F8/A8)</f>
        <v>0.006125</v>
      </c>
      <c r="H8" s="0" t="str">
        <f aca="false">IF(F8&lt;0, "LOSS - FATAL", IF(G8&lt;0.005, "MARGINAL", "WORKS"))</f>
        <v>WORKS</v>
      </c>
    </row>
    <row r="9" customFormat="false" ht="15" hidden="false" customHeight="false" outlineLevel="0" collapsed="false">
      <c r="A9" s="5" t="n">
        <v>1000</v>
      </c>
      <c r="B9" s="0" t="n">
        <f aca="false">A9*0.025</f>
        <v>25</v>
      </c>
      <c r="C9" s="0" t="n">
        <f aca="false">MIN(B9, 20)</f>
        <v>20</v>
      </c>
      <c r="D9" s="0" t="n">
        <f aca="false">C9/A9</f>
        <v>0.02</v>
      </c>
      <c r="E9" s="0" t="n">
        <f aca="false">A9*0.017+1.5</f>
        <v>18.5</v>
      </c>
      <c r="F9" s="0" t="n">
        <f aca="false">C9-E9</f>
        <v>1.5</v>
      </c>
      <c r="G9" s="0" t="n">
        <f aca="false">IF(A9=0, 0, F9/A9)</f>
        <v>0.0015</v>
      </c>
      <c r="H9" s="0" t="str">
        <f aca="false">IF(F9&lt;0, "LOSS - FATAL", IF(G9&lt;0.005, "MARGINAL", "WORKS"))</f>
        <v>MARGINAL</v>
      </c>
    </row>
    <row r="10" customFormat="false" ht="15" hidden="false" customHeight="false" outlineLevel="0" collapsed="false">
      <c r="A10" s="5" t="n">
        <v>1500</v>
      </c>
      <c r="B10" s="0" t="n">
        <f aca="false">A10*0.025</f>
        <v>37.5</v>
      </c>
      <c r="C10" s="0" t="n">
        <f aca="false">MIN(B10, 20)</f>
        <v>20</v>
      </c>
      <c r="D10" s="0" t="n">
        <f aca="false">C10/A10</f>
        <v>0.0133333333333333</v>
      </c>
      <c r="E10" s="0" t="n">
        <f aca="false">A10*0.017+1.5</f>
        <v>27</v>
      </c>
      <c r="F10" s="0" t="n">
        <f aca="false">C10-E10</f>
        <v>-7</v>
      </c>
      <c r="G10" s="0" t="n">
        <f aca="false">IF(A10=0, 0, F10/A10)</f>
        <v>-0.00466666666666667</v>
      </c>
      <c r="H10" s="0" t="str">
        <f aca="false">IF(F10&lt;0, "LOSS - FATAL", IF(G10&lt;0.005, "MARGINAL", "WORKS"))</f>
        <v>LOSS - FATAL</v>
      </c>
    </row>
    <row r="11" customFormat="false" ht="15" hidden="false" customHeight="false" outlineLevel="0" collapsed="false">
      <c r="A11" s="5" t="n">
        <v>2000</v>
      </c>
      <c r="B11" s="0" t="n">
        <f aca="false">A11*0.025</f>
        <v>50</v>
      </c>
      <c r="C11" s="0" t="n">
        <f aca="false">MIN(B11, 20)</f>
        <v>20</v>
      </c>
      <c r="D11" s="0" t="n">
        <f aca="false">C11/A11</f>
        <v>0.01</v>
      </c>
      <c r="E11" s="0" t="n">
        <f aca="false">A11*0.017+1.5</f>
        <v>35.5</v>
      </c>
      <c r="F11" s="0" t="n">
        <f aca="false">C11-E11</f>
        <v>-15.5</v>
      </c>
      <c r="G11" s="0" t="n">
        <f aca="false">IF(A11=0, 0, F11/A11)</f>
        <v>-0.00775</v>
      </c>
      <c r="H11" s="0" t="str">
        <f aca="false">IF(F11&lt;0, "LOSS - FATAL", IF(G11&lt;0.005, "MARGINAL", "WORKS"))</f>
        <v>LOSS - FATAL</v>
      </c>
    </row>
    <row r="12" customFormat="false" ht="15" hidden="false" customHeight="false" outlineLevel="0" collapsed="false">
      <c r="A12" s="5" t="n">
        <v>3000</v>
      </c>
      <c r="B12" s="0" t="n">
        <f aca="false">A12*0.025</f>
        <v>75</v>
      </c>
      <c r="C12" s="0" t="n">
        <f aca="false">MIN(B12, 20)</f>
        <v>20</v>
      </c>
      <c r="D12" s="0" t="n">
        <f aca="false">C12/A12</f>
        <v>0.00666666666666667</v>
      </c>
      <c r="E12" s="0" t="n">
        <f aca="false">A12*0.017+1.5</f>
        <v>52.5</v>
      </c>
      <c r="F12" s="0" t="n">
        <f aca="false">C12-E12</f>
        <v>-32.5</v>
      </c>
      <c r="G12" s="0" t="n">
        <f aca="false">IF(A12=0, 0, F12/A12)</f>
        <v>-0.0108333333333333</v>
      </c>
      <c r="H12" s="0" t="str">
        <f aca="false">IF(F12&lt;0, "LOSS - FATAL", IF(G12&lt;0.005, "MARGINAL", "WORKS"))</f>
        <v>LOSS - FATAL</v>
      </c>
    </row>
    <row r="13" customFormat="false" ht="15" hidden="false" customHeight="false" outlineLevel="0" collapsed="false">
      <c r="A13" s="5" t="n">
        <v>5000</v>
      </c>
      <c r="B13" s="0" t="n">
        <f aca="false">A13*0.025</f>
        <v>125</v>
      </c>
      <c r="C13" s="0" t="n">
        <f aca="false">MIN(B13, 20)</f>
        <v>20</v>
      </c>
      <c r="D13" s="0" t="n">
        <f aca="false">C13/A13</f>
        <v>0.004</v>
      </c>
      <c r="E13" s="0" t="n">
        <f aca="false">A13*0.017+1.5</f>
        <v>86.5</v>
      </c>
      <c r="F13" s="0" t="n">
        <f aca="false">C13-E13</f>
        <v>-66.5</v>
      </c>
      <c r="G13" s="0" t="n">
        <f aca="false">IF(A13=0, 0, F13/A13)</f>
        <v>-0.0133</v>
      </c>
      <c r="H13" s="0" t="str">
        <f aca="false">IF(F13&lt;0, "LOSS - FATAL", IF(G13&lt;0.005, "MARGINAL", "WORKS"))</f>
        <v>LOSS - FATAL</v>
      </c>
    </row>
    <row r="15" customFormat="false" ht="15" hidden="false" customHeight="false" outlineLevel="0" collapsed="false">
      <c r="A15" s="9" t="s">
        <v>61</v>
      </c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10" t="s">
        <v>62</v>
      </c>
      <c r="B16" s="10"/>
      <c r="C16" s="10"/>
      <c r="D16" s="10"/>
      <c r="E16" s="10"/>
      <c r="F16" s="10"/>
      <c r="G16" s="10"/>
      <c r="H16" s="10"/>
    </row>
  </sheetData>
  <mergeCells count="3">
    <mergeCell ref="A1:H1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7" min="3" style="0" width="12"/>
    <col collapsed="false" customWidth="true" hidden="false" outlineLevel="0" max="8" min="8" style="0" width="30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64</v>
      </c>
    </row>
    <row r="4" customFormat="false" ht="15" hidden="false" customHeight="false" outlineLevel="0" collapsed="false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48</v>
      </c>
      <c r="G4" s="3" t="s">
        <v>70</v>
      </c>
      <c r="H4" s="3" t="s">
        <v>71</v>
      </c>
      <c r="I4" s="3" t="s">
        <v>49</v>
      </c>
    </row>
    <row r="5" customFormat="false" ht="15" hidden="false" customHeight="false" outlineLevel="0" collapsed="false">
      <c r="A5" s="5" t="s">
        <v>72</v>
      </c>
      <c r="B5" s="0" t="s">
        <v>73</v>
      </c>
      <c r="C5" s="0" t="s">
        <v>74</v>
      </c>
      <c r="D5" s="0" t="n">
        <f aca="false">750*0.017+1.5</f>
        <v>14.25</v>
      </c>
      <c r="E5" s="0" t="n">
        <f aca="false">750*0.03-D5</f>
        <v>8.25</v>
      </c>
      <c r="F5" s="0" t="n">
        <f aca="false">E5/750</f>
        <v>0.011</v>
      </c>
      <c r="G5" s="0" t="s">
        <v>75</v>
      </c>
      <c r="H5" s="0" t="s">
        <v>76</v>
      </c>
      <c r="I5" s="0" t="s">
        <v>77</v>
      </c>
    </row>
    <row r="6" customFormat="false" ht="15" hidden="false" customHeight="false" outlineLevel="0" collapsed="false">
      <c r="A6" s="5" t="s">
        <v>78</v>
      </c>
      <c r="B6" s="0" t="s">
        <v>79</v>
      </c>
      <c r="C6" s="0" t="s">
        <v>80</v>
      </c>
      <c r="D6" s="0" t="n">
        <f aca="false">2000*0.017+1.5</f>
        <v>35.5</v>
      </c>
      <c r="E6" s="0" t="n">
        <f aca="false">2000*0.025-D6</f>
        <v>14.5</v>
      </c>
      <c r="F6" s="0" t="n">
        <f aca="false">E6/2000</f>
        <v>0.00725</v>
      </c>
      <c r="G6" s="0" t="s">
        <v>75</v>
      </c>
      <c r="H6" s="0" t="s">
        <v>81</v>
      </c>
      <c r="I6" s="0" t="s">
        <v>82</v>
      </c>
    </row>
    <row r="7" customFormat="false" ht="15" hidden="false" customHeight="false" outlineLevel="0" collapsed="false">
      <c r="A7" s="5" t="s">
        <v>83</v>
      </c>
      <c r="B7" s="0" t="s">
        <v>84</v>
      </c>
      <c r="C7" s="0" t="s">
        <v>85</v>
      </c>
      <c r="D7" s="0" t="n">
        <f aca="false">5000*0.017+1.5</f>
        <v>86.5</v>
      </c>
      <c r="E7" s="0" t="n">
        <f aca="false">5000*0.02-D7</f>
        <v>13.5</v>
      </c>
      <c r="F7" s="0" t="n">
        <f aca="false">E7/5000</f>
        <v>0.0027</v>
      </c>
      <c r="G7" s="0" t="s">
        <v>86</v>
      </c>
      <c r="H7" s="0" t="s">
        <v>87</v>
      </c>
      <c r="I7" s="0" t="s">
        <v>88</v>
      </c>
    </row>
    <row r="8" customFormat="false" ht="15" hidden="false" customHeight="false" outlineLevel="0" collapsed="false">
      <c r="A8" s="5" t="s">
        <v>89</v>
      </c>
      <c r="B8" s="0" t="s">
        <v>90</v>
      </c>
      <c r="C8" s="0" t="s">
        <v>91</v>
      </c>
      <c r="D8" s="0" t="n">
        <f aca="false">15000*0.024</f>
        <v>360</v>
      </c>
      <c r="E8" s="0" t="n">
        <f aca="false">15000*0.015-D8</f>
        <v>-135</v>
      </c>
      <c r="F8" s="0" t="n">
        <f aca="false">E8/15000</f>
        <v>-0.009</v>
      </c>
      <c r="G8" s="0" t="s">
        <v>92</v>
      </c>
      <c r="H8" s="0" t="s">
        <v>93</v>
      </c>
      <c r="I8" s="0" t="s">
        <v>94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95</v>
      </c>
      <c r="B1" s="1"/>
      <c r="C1" s="1"/>
      <c r="D1" s="1"/>
    </row>
    <row r="3" customFormat="false" ht="17.35" hidden="false" customHeight="false" outlineLevel="0" collapsed="false">
      <c r="A3" s="11" t="s">
        <v>96</v>
      </c>
      <c r="B3" s="11"/>
      <c r="C3" s="11"/>
      <c r="D3" s="11"/>
    </row>
    <row r="6" customFormat="false" ht="15" hidden="false" customHeight="false" outlineLevel="0" collapsed="false">
      <c r="A6" s="4" t="s">
        <v>97</v>
      </c>
      <c r="B6" s="4" t="s">
        <v>49</v>
      </c>
      <c r="C6" s="4" t="s">
        <v>98</v>
      </c>
      <c r="D6" s="4" t="s">
        <v>99</v>
      </c>
    </row>
    <row r="7" customFormat="false" ht="15" hidden="false" customHeight="false" outlineLevel="0" collapsed="false">
      <c r="A7" s="0" t="s">
        <v>44</v>
      </c>
      <c r="B7" s="0" t="s">
        <v>100</v>
      </c>
      <c r="C7" s="0" t="s">
        <v>101</v>
      </c>
      <c r="D7" s="0" t="s">
        <v>102</v>
      </c>
    </row>
    <row r="8" customFormat="false" ht="15" hidden="false" customHeight="false" outlineLevel="0" collapsed="false">
      <c r="A8" s="0" t="s">
        <v>103</v>
      </c>
      <c r="B8" s="12" t="s">
        <v>104</v>
      </c>
      <c r="C8" s="0" t="s">
        <v>105</v>
      </c>
      <c r="D8" s="0" t="s">
        <v>106</v>
      </c>
    </row>
    <row r="9" customFormat="false" ht="15" hidden="false" customHeight="false" outlineLevel="0" collapsed="false">
      <c r="A9" s="0" t="s">
        <v>107</v>
      </c>
      <c r="B9" s="13" t="s">
        <v>108</v>
      </c>
      <c r="C9" s="0" t="s">
        <v>109</v>
      </c>
      <c r="D9" s="13" t="s">
        <v>110</v>
      </c>
    </row>
    <row r="10" customFormat="false" ht="15" hidden="false" customHeight="false" outlineLevel="0" collapsed="false">
      <c r="A10" s="0" t="s">
        <v>111</v>
      </c>
      <c r="B10" s="0" t="s">
        <v>112</v>
      </c>
      <c r="C10" s="0" t="s">
        <v>113</v>
      </c>
      <c r="D10" s="0" t="s">
        <v>114</v>
      </c>
    </row>
    <row r="12" customFormat="false" ht="15" hidden="false" customHeight="false" outlineLevel="0" collapsed="false">
      <c r="A12" s="0" t="s">
        <v>115</v>
      </c>
    </row>
    <row r="13" customFormat="false" ht="15" hidden="false" customHeight="false" outlineLevel="0" collapsed="false">
      <c r="A13" s="4" t="s">
        <v>116</v>
      </c>
      <c r="B13" s="4" t="s">
        <v>117</v>
      </c>
      <c r="C13" s="4" t="s">
        <v>118</v>
      </c>
      <c r="D13" s="14" t="s">
        <v>119</v>
      </c>
    </row>
    <row r="14" customFormat="false" ht="15" hidden="false" customHeight="false" outlineLevel="0" collapsed="false">
      <c r="A14" s="0" t="s">
        <v>120</v>
      </c>
      <c r="B14" s="0" t="s">
        <v>121</v>
      </c>
      <c r="C14" s="0" t="s">
        <v>122</v>
      </c>
      <c r="D14" s="0" t="s">
        <v>123</v>
      </c>
    </row>
    <row r="15" customFormat="false" ht="15" hidden="false" customHeight="false" outlineLevel="0" collapsed="false">
      <c r="A15" s="0" t="s">
        <v>124</v>
      </c>
      <c r="B15" s="0" t="s">
        <v>125</v>
      </c>
      <c r="C15" s="0" t="s">
        <v>126</v>
      </c>
      <c r="D15" s="0" t="s">
        <v>127</v>
      </c>
    </row>
    <row r="17" customFormat="false" ht="15" hidden="false" customHeight="false" outlineLevel="0" collapsed="false">
      <c r="A17" s="0" t="s">
        <v>128</v>
      </c>
      <c r="B17" s="0" t="s">
        <v>129</v>
      </c>
      <c r="C17" s="0" t="s">
        <v>130</v>
      </c>
      <c r="D17" s="0" t="s">
        <v>131</v>
      </c>
    </row>
    <row r="18" customFormat="false" ht="15" hidden="false" customHeight="false" outlineLevel="0" collapsed="false">
      <c r="A18" s="4"/>
      <c r="B18" s="4"/>
      <c r="C18" s="4"/>
      <c r="D18" s="4"/>
    </row>
    <row r="19" customFormat="false" ht="15" hidden="false" customHeight="false" outlineLevel="0" collapsed="false">
      <c r="A19" s="0" t="s">
        <v>132</v>
      </c>
      <c r="B19" s="0" t="s">
        <v>133</v>
      </c>
      <c r="C19" s="0" t="s">
        <v>134</v>
      </c>
      <c r="D19" s="0" t="s">
        <v>135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2026-02-11T22:34:25Z</dcterms:created>
  <dc:creator>openpyxl</dc:creator>
  <dc:description/>
  <dc:language>en-US</dc:language>
  <cp:lastModifiedBy/>
  <dcterms:modified xsi:type="dcterms:W3CDTF">2026-02-11T22:34:25Z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