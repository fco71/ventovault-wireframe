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Structure" sheetId="1" state="visible" r:id="rId3"/>
    <sheet name="Pricing Scenarios" sheetId="2" state="visible" r:id="rId4"/>
    <sheet name="Unbalanced Corridors" sheetId="3" state="visible" r:id="rId5"/>
    <sheet name="Stress Test" sheetId="4" state="visible" r:id="rId6"/>
    <sheet name="$20 Cap Analysis" sheetId="5" state="visible" r:id="rId7"/>
    <sheet name="Recommend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<sst xmlns="http://schemas.openxmlformats.org/spreadsheetml/2006/main" count="150" uniqueCount="131">
  <si>
    <t xml:space="preserve">VentoVault Pricing Model Analysis</t>
  </si>
  <si>
    <t xml:space="preserve">Partner Cost Breakdown (Per $500 Transaction)</t>
  </si>
  <si>
    <t xml:space="preserve">Partner</t>
  </si>
  <si>
    <t xml:space="preserve">Function</t>
  </si>
  <si>
    <t xml:space="preserve">Cost ($)</t>
  </si>
  <si>
    <t xml:space="preserve">% of Send</t>
  </si>
  <si>
    <t xml:space="preserve">Notes</t>
  </si>
  <si>
    <t xml:space="preserve">Collection Partner</t>
  </si>
  <si>
    <t xml:space="preserve">ACH/Funding Rail</t>
  </si>
  <si>
    <t xml:space="preserve">Plaid, Dwolla, Stripe</t>
  </si>
  <si>
    <t xml:space="preserve">FX/Liquidity Partner</t>
  </si>
  <si>
    <t xml:space="preserve">Currency Conversion Spread</t>
  </si>
  <si>
    <t xml:space="preserve">CurrencyCloud, Wise Platform</t>
  </si>
  <si>
    <t xml:space="preserve">Settlement Provider</t>
  </si>
  <si>
    <t xml:space="preserve">Network Routing (SEPA/SWIFT)</t>
  </si>
  <si>
    <t xml:space="preserve">Modulr, Currencycloud</t>
  </si>
  <si>
    <t xml:space="preserve">Payout Partner</t>
  </si>
  <si>
    <t xml:space="preserve">Local Delivery</t>
  </si>
  <si>
    <t xml:space="preserve">Local bank networks</t>
  </si>
  <si>
    <t xml:space="preserve">Compliance Vendors</t>
  </si>
  <si>
    <t xml:space="preserve">KYC/AML Screening</t>
  </si>
  <si>
    <t xml:space="preserve">ComplyAdvantage, Onfido</t>
  </si>
  <si>
    <t xml:space="preserve">TOTAL PARTNER COSTS</t>
  </si>
  <si>
    <t xml:space="preserve">VentoVault Target Revenue</t>
  </si>
  <si>
    <t xml:space="preserve">3.0% Platform Fee</t>
  </si>
  <si>
    <t xml:space="preserve">3.0%</t>
  </si>
  <si>
    <t xml:space="preserve">Target from Chapter 10.5</t>
  </si>
  <si>
    <t xml:space="preserve">Total All-In to Customer</t>
  </si>
  <si>
    <t xml:space="preserve">Partner costs + VentoVault fee</t>
  </si>
  <si>
    <t xml:space="preserve">2.5% All-In Pricing: Feasibility Analysis</t>
  </si>
  <si>
    <t xml:space="preserve">Scenario: Transaction Amount Sensitivity</t>
  </si>
  <si>
    <t xml:space="preserve">Send Amount</t>
  </si>
  <si>
    <t xml:space="preserve">Partner Costs ($)</t>
  </si>
  <si>
    <t xml:space="preserve">Partner Costs (%)</t>
  </si>
  <si>
    <t xml:space="preserve">Target VV Fee (3%)</t>
  </si>
  <si>
    <t xml:space="preserve">2.5% All-In ($)</t>
  </si>
  <si>
    <t xml:space="preserve">VV Margin ($)</t>
  </si>
  <si>
    <t xml:space="preserve">VV Margin (%)</t>
  </si>
  <si>
    <t xml:space="preserve">$20 Cap ($)</t>
  </si>
  <si>
    <t xml:space="preserve">VV Margin w/ Cap ($)</t>
  </si>
  <si>
    <t xml:space="preserve">Status</t>
  </si>
  <si>
    <t xml:space="preserve">Unbalanced Corridor Strategy (&gt;2% Gap Rule)</t>
  </si>
  <si>
    <t xml:space="preserve">Corridor Comparison: VentoVault vs. Incumbents</t>
  </si>
  <si>
    <t xml:space="preserve">Corridor</t>
  </si>
  <si>
    <t xml:space="preserve">Wise Fee (%)</t>
  </si>
  <si>
    <t xml:space="preserve">PayPal Fee (%)</t>
  </si>
  <si>
    <t xml:space="preserve">Western Union (%)</t>
  </si>
  <si>
    <t xml:space="preserve">Market Average (%)</t>
  </si>
  <si>
    <t xml:space="preserve">VentoVault (2.5%)</t>
  </si>
  <si>
    <t xml:space="preserve">Gap vs Market</t>
  </si>
  <si>
    <t xml:space="preserve">US → Mexico</t>
  </si>
  <si>
    <t xml:space="preserve">High remittance volume</t>
  </si>
  <si>
    <t xml:space="preserve">US → Brazil</t>
  </si>
  <si>
    <t xml:space="preserve">Unbalanced flow</t>
  </si>
  <si>
    <t xml:space="preserve">US → Colombia</t>
  </si>
  <si>
    <t xml:space="preserve">High friction</t>
  </si>
  <si>
    <t xml:space="preserve">US → Philippines</t>
  </si>
  <si>
    <t xml:space="preserve">Balanced - avoid</t>
  </si>
  <si>
    <t xml:space="preserve">US → India</t>
  </si>
  <si>
    <t xml:space="preserve">US → Argentina</t>
  </si>
  <si>
    <t xml:space="preserve">Currency volatility</t>
  </si>
  <si>
    <t xml:space="preserve">US → Venezuela</t>
  </si>
  <si>
    <t xml:space="preserve">Extreme friction</t>
  </si>
  <si>
    <t xml:space="preserve">Economic Stress Test (From Chapter 10.5)</t>
  </si>
  <si>
    <t xml:space="preserve">Settlement Cost Volatility Impact</t>
  </si>
  <si>
    <t xml:space="preserve">Scenario</t>
  </si>
  <si>
    <t xml:space="preserve">Settlement Cost (%)</t>
  </si>
  <si>
    <t xml:space="preserve">Total Partner Costs (%)</t>
  </si>
  <si>
    <t xml:space="preserve">VV Revenue (3%)</t>
  </si>
  <si>
    <t xml:space="preserve">Net Margin (%)</t>
  </si>
  <si>
    <t xml:space="preserve">Assessment</t>
  </si>
  <si>
    <t xml:space="preserve">Optimized</t>
  </si>
  <si>
    <t xml:space="preserve">Target operations</t>
  </si>
  <si>
    <t xml:space="preserve">Standard</t>
  </si>
  <si>
    <t xml:space="preserve">Typical conditions</t>
  </si>
  <si>
    <t xml:space="preserve">High Friction</t>
  </si>
  <si>
    <t xml:space="preserve">Unbalanced corridors</t>
  </si>
  <si>
    <t xml:space="preserve">Extreme Spike</t>
  </si>
  <si>
    <t xml:space="preserve">Market volatility</t>
  </si>
  <si>
    <t xml:space="preserve">2.5% All-In Stress Test</t>
  </si>
  <si>
    <t xml:space="preserve">VV Revenue (2.5%)</t>
  </si>
  <si>
    <t xml:space="preserve">Viability</t>
  </si>
  <si>
    <t xml:space="preserve">$20 Cap: Break-Even Analysis</t>
  </si>
  <si>
    <t xml:space="preserve">Cap Impact by Transaction Size</t>
  </si>
  <si>
    <t xml:space="preserve">2.5% Fee ($)</t>
  </si>
  <si>
    <t xml:space="preserve">Effective Rate (%)</t>
  </si>
  <si>
    <t xml:space="preserve">Margin (%)</t>
  </si>
  <si>
    <t xml:space="preserve">Key Insight: Cap Becomes Active at $800</t>
  </si>
  <si>
    <t xml:space="preserve">At $800: 2.5% = $20, so cap starts constraining revenue</t>
  </si>
  <si>
    <t xml:space="preserve">Pricing Recommendations &amp; Conclusions</t>
  </si>
  <si>
    <t xml:space="preserve">VERDICT: 2.5% All-In Pricing Analysis</t>
  </si>
  <si>
    <t xml:space="preserve">Finding</t>
  </si>
  <si>
    <t xml:space="preserve">Details</t>
  </si>
  <si>
    <t xml:space="preserve">Action</t>
  </si>
  <si>
    <t xml:space="preserve">Partner Costs</t>
  </si>
  <si>
    <t xml:space="preserve">2.4% FIXED</t>
  </si>
  <si>
    <t xml:space="preserve">Collection (0.5%) + FX (0.8%) + Settlement (0.3%) + Payout (0.4%) + Compliance (0.3%)</t>
  </si>
  <si>
    <t xml:space="preserve">Cannot reduce below this</t>
  </si>
  <si>
    <t xml:space="preserve">VV Margin at 2.5%</t>
  </si>
  <si>
    <t xml:space="preserve">ONLY 0.6%</t>
  </si>
  <si>
    <t xml:space="preserve">2.5% revenue - 2.4% costs = 0.6% margin</t>
  </si>
  <si>
    <t xml:space="preserve">EXTREMELY THIN</t>
  </si>
  <si>
    <t xml:space="preserve">Stress Test Result</t>
  </si>
  <si>
    <t xml:space="preserve">FAILS</t>
  </si>
  <si>
    <t xml:space="preserve">In High Friction scenarios (0.5% settlement), margin drops to 0.1%</t>
  </si>
  <si>
    <t xml:space="preserve">UNSUSTAINABLE</t>
  </si>
  <si>
    <t xml:space="preserve">$20 Cap Impact</t>
  </si>
  <si>
    <t xml:space="preserve">KILLS MARGIN</t>
  </si>
  <si>
    <t xml:space="preserve">Cap active at $800+. At $2000: effective rate = 1.0%, margin NEGATIVE</t>
  </si>
  <si>
    <t xml:space="preserve">FATAL FLAW</t>
  </si>
  <si>
    <t xml:space="preserve">RECOMMENDED PRICING</t>
  </si>
  <si>
    <t xml:space="preserve">Option 1: No Cap</t>
  </si>
  <si>
    <t xml:space="preserve">2.5% UNCAPPED</t>
  </si>
  <si>
    <t xml:space="preserve">Viable only in Optimized/Standard scenarios. Risky.</t>
  </si>
  <si>
    <t xml:space="preserve">Better than capped</t>
  </si>
  <si>
    <t xml:space="preserve">Option 2: Higher %</t>
  </si>
  <si>
    <t xml:space="preserve">3.5% ALL-IN</t>
  </si>
  <si>
    <t xml:space="preserve">Gives 1.1% margin (3.5% - 2.4%). Sustainable in stress.</t>
  </si>
  <si>
    <t xml:space="preserve">RECOMMENDED</t>
  </si>
  <si>
    <t xml:space="preserve">Option 3: Hybrid</t>
  </si>
  <si>
    <t xml:space="preserve">3.0% + $25 CAP</t>
  </si>
  <si>
    <t xml:space="preserve">0.6% margin, cap at $833. Still competitive vs 4%+ incumbents.</t>
  </si>
  <si>
    <t xml:space="preserve">BALANCED</t>
  </si>
  <si>
    <t xml:space="preserve">CORRIDOR STRATEGY</t>
  </si>
  <si>
    <t xml:space="preserve">CRITICAL</t>
  </si>
  <si>
    <t xml:space="preserve">ONLY target &gt;2% gap corridors where incumbents charge 4%+</t>
  </si>
  <si>
    <t xml:space="preserve">Non-negotiable</t>
  </si>
  <si>
    <t xml:space="preserve">BOTTOM LINE</t>
  </si>
  <si>
    <t xml:space="preserve">2.5% w/ $20 CAP</t>
  </si>
  <si>
    <t xml:space="preserve">DOES NOT WORK. You will lose money on transactions &gt;$800.</t>
  </si>
  <si>
    <t xml:space="preserve">DO NOT LAUNCH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</si>
</sst>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2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FF0000"/>
      <name val="Cambria"/>
      <family val="0"/>
      <charset val="1"/>
    </font>
    <font>
      <b val="true"/>
      <sz val="11"/>
      <color rgb="FF00FF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9CCFF"/>
      </patternFill>
    </fill>
    <fill>
      <patternFill patternType="solid">
        <fgColor rgb="FFFFD7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4" min="3" style="1" width="12"/>
    <col collapsed="false" customWidth="true" hidden="false" outlineLevel="0" max="5" min="5" style="1" width="3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1" t="s">
        <v>7</v>
      </c>
      <c r="B5" s="1" t="s">
        <v>8</v>
      </c>
      <c r="C5" s="1" t="n">
        <v>2.5</v>
      </c>
      <c r="D5" s="1" t="n">
        <f aca="false">C5/500</f>
        <v>0.005</v>
      </c>
      <c r="E5" s="1" t="s">
        <v>9</v>
      </c>
    </row>
    <row r="6" customFormat="false" ht="15" hidden="false" customHeight="true" outlineLevel="0" collapsed="false">
      <c r="A6" s="1" t="s">
        <v>10</v>
      </c>
      <c r="B6" s="1" t="s">
        <v>11</v>
      </c>
      <c r="C6" s="1" t="n">
        <v>4</v>
      </c>
      <c r="D6" s="1" t="n">
        <f aca="false">C6/500</f>
        <v>0.008</v>
      </c>
      <c r="E6" s="1" t="s">
        <v>12</v>
      </c>
    </row>
    <row r="7" customFormat="false" ht="15" hidden="false" customHeight="true" outlineLevel="0" collapsed="false">
      <c r="A7" s="1" t="s">
        <v>13</v>
      </c>
      <c r="B7" s="1" t="s">
        <v>14</v>
      </c>
      <c r="C7" s="1" t="n">
        <v>1.5</v>
      </c>
      <c r="D7" s="1" t="n">
        <f aca="false">C7/500</f>
        <v>0.003</v>
      </c>
      <c r="E7" s="1" t="s">
        <v>15</v>
      </c>
    </row>
    <row r="8" customFormat="false" ht="15" hidden="false" customHeight="true" outlineLevel="0" collapsed="false">
      <c r="A8" s="1" t="s">
        <v>16</v>
      </c>
      <c r="B8" s="1" t="s">
        <v>17</v>
      </c>
      <c r="C8" s="1" t="n">
        <v>2</v>
      </c>
      <c r="D8" s="1" t="n">
        <f aca="false">C8/500</f>
        <v>0.004</v>
      </c>
      <c r="E8" s="1" t="s">
        <v>18</v>
      </c>
    </row>
    <row r="9" customFormat="false" ht="15" hidden="false" customHeight="true" outlineLevel="0" collapsed="false">
      <c r="A9" s="1" t="s">
        <v>19</v>
      </c>
      <c r="B9" s="1" t="s">
        <v>20</v>
      </c>
      <c r="C9" s="1" t="n">
        <v>1.5</v>
      </c>
      <c r="D9" s="1" t="n">
        <f aca="false">C9/500</f>
        <v>0.003</v>
      </c>
      <c r="E9" s="1" t="s">
        <v>21</v>
      </c>
    </row>
    <row r="10" customFormat="false" ht="15" hidden="false" customHeight="true" outlineLevel="0" collapsed="false">
      <c r="A10" s="5" t="s">
        <v>22</v>
      </c>
      <c r="B10" s="5"/>
      <c r="C10" s="5" t="n">
        <f aca="false">SUM(C5:C9)</f>
        <v>11.5</v>
      </c>
      <c r="D10" s="5" t="n">
        <f aca="false">C10/500</f>
        <v>0.023</v>
      </c>
    </row>
    <row r="12" customFormat="false" ht="15" hidden="false" customHeight="true" outlineLevel="0" collapsed="false">
      <c r="A12" s="3" t="s">
        <v>23</v>
      </c>
    </row>
    <row r="14" customFormat="false" ht="15" hidden="false" customHeight="true" outlineLevel="0" collapsed="false">
      <c r="A14" s="1" t="s">
        <v>24</v>
      </c>
      <c r="C14" s="1" t="n">
        <f aca="false">500*0.03</f>
        <v>15</v>
      </c>
      <c r="D14" s="1" t="s">
        <v>25</v>
      </c>
      <c r="E14" s="1" t="s">
        <v>26</v>
      </c>
    </row>
    <row r="15" customFormat="false" ht="15" hidden="false" customHeight="true" outlineLevel="0" collapsed="false">
      <c r="A15" s="6" t="s">
        <v>27</v>
      </c>
      <c r="C15" s="6" t="n">
        <f aca="false">C10+C14</f>
        <v>26.5</v>
      </c>
      <c r="D15" s="6" t="n">
        <f aca="false">C15/500</f>
        <v>0.053</v>
      </c>
      <c r="E15" s="1" t="s">
        <v>28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4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30</v>
      </c>
    </row>
    <row r="4" customFormat="false" ht="15" hidden="false" customHeight="true" outlineLevel="0" collapsed="false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</row>
    <row r="5" customFormat="false" ht="15" hidden="false" customHeight="true" outlineLevel="0" collapsed="false">
      <c r="A5" s="7" t="n">
        <v>100</v>
      </c>
      <c r="B5" s="1" t="n">
        <f aca="false">A5*0.024</f>
        <v>2.4</v>
      </c>
      <c r="C5" s="1" t="n">
        <f aca="false">IF(A5=0, 0, B5/A5)</f>
        <v>0.024</v>
      </c>
      <c r="D5" s="1" t="n">
        <f aca="false">A5*0.03</f>
        <v>3</v>
      </c>
      <c r="E5" s="1" t="n">
        <f aca="false">A5*0.025</f>
        <v>2.5</v>
      </c>
      <c r="F5" s="1" t="n">
        <f aca="false">E5-B5</f>
        <v>0.1</v>
      </c>
      <c r="G5" s="1" t="n">
        <f aca="false">F5/A5</f>
        <v>0.001</v>
      </c>
      <c r="H5" s="1" t="n">
        <f aca="false">MIN(E5, 20)</f>
        <v>2.5</v>
      </c>
      <c r="I5" s="1" t="n">
        <f aca="false">H5-B5</f>
        <v>0.1</v>
      </c>
      <c r="J5" s="8" t="str">
        <f aca="false">IF(I5&gt;0, "VIABLE", "LOSS")</f>
        <v>VIABLE</v>
      </c>
    </row>
    <row r="6" customFormat="false" ht="15" hidden="false" customHeight="true" outlineLevel="0" collapsed="false">
      <c r="A6" s="7" t="n">
        <v>250</v>
      </c>
      <c r="B6" s="1" t="n">
        <f aca="false">A6*0.024</f>
        <v>6</v>
      </c>
      <c r="C6" s="1" t="n">
        <f aca="false">IF(A6=0, 0, B6/A6)</f>
        <v>0.024</v>
      </c>
      <c r="D6" s="1" t="n">
        <f aca="false">A6*0.03</f>
        <v>7.5</v>
      </c>
      <c r="E6" s="1" t="n">
        <f aca="false">A6*0.025</f>
        <v>6.25</v>
      </c>
      <c r="F6" s="1" t="n">
        <f aca="false">E6-B6</f>
        <v>0.25</v>
      </c>
      <c r="G6" s="1" t="n">
        <f aca="false">F6/A6</f>
        <v>0.001</v>
      </c>
      <c r="H6" s="1" t="n">
        <f aca="false">MIN(E6, 20)</f>
        <v>6.25</v>
      </c>
      <c r="I6" s="1" t="n">
        <f aca="false">H6-B6</f>
        <v>0.25</v>
      </c>
      <c r="J6" s="8" t="str">
        <f aca="false">IF(I6&gt;0, "VIABLE", "LOSS")</f>
        <v>VIABLE</v>
      </c>
    </row>
    <row r="7" customFormat="false" ht="15" hidden="false" customHeight="true" outlineLevel="0" collapsed="false">
      <c r="A7" s="7" t="n">
        <v>500</v>
      </c>
      <c r="B7" s="1" t="n">
        <f aca="false">A7*0.024</f>
        <v>12</v>
      </c>
      <c r="C7" s="1" t="n">
        <f aca="false">IF(A7=0, 0, B7/A7)</f>
        <v>0.024</v>
      </c>
      <c r="D7" s="1" t="n">
        <f aca="false">A7*0.03</f>
        <v>15</v>
      </c>
      <c r="E7" s="1" t="n">
        <f aca="false">A7*0.025</f>
        <v>12.5</v>
      </c>
      <c r="F7" s="1" t="n">
        <f aca="false">E7-B7</f>
        <v>0.5</v>
      </c>
      <c r="G7" s="1" t="n">
        <f aca="false">F7/A7</f>
        <v>0.001</v>
      </c>
      <c r="H7" s="1" t="n">
        <f aca="false">MIN(E7, 20)</f>
        <v>12.5</v>
      </c>
      <c r="I7" s="1" t="n">
        <f aca="false">H7-B7</f>
        <v>0.5</v>
      </c>
      <c r="J7" s="8" t="str">
        <f aca="false">IF(I7&gt;0, "VIABLE", "LOSS")</f>
        <v>VIABLE</v>
      </c>
    </row>
    <row r="8" customFormat="false" ht="15" hidden="false" customHeight="true" outlineLevel="0" collapsed="false">
      <c r="A8" s="7" t="n">
        <v>750</v>
      </c>
      <c r="B8" s="1" t="n">
        <f aca="false">A8*0.024</f>
        <v>18</v>
      </c>
      <c r="C8" s="1" t="n">
        <f aca="false">IF(A8=0, 0, B8/A8)</f>
        <v>0.024</v>
      </c>
      <c r="D8" s="1" t="n">
        <f aca="false">A8*0.03</f>
        <v>22.5</v>
      </c>
      <c r="E8" s="1" t="n">
        <f aca="false">A8*0.025</f>
        <v>18.75</v>
      </c>
      <c r="F8" s="1" t="n">
        <f aca="false">E8-B8</f>
        <v>0.75</v>
      </c>
      <c r="G8" s="1" t="n">
        <f aca="false">F8/A8</f>
        <v>0.001</v>
      </c>
      <c r="H8" s="1" t="n">
        <f aca="false">MIN(E8, 20)</f>
        <v>18.75</v>
      </c>
      <c r="I8" s="1" t="n">
        <f aca="false">H8-B8</f>
        <v>0.75</v>
      </c>
      <c r="J8" s="8" t="str">
        <f aca="false">IF(I8&gt;0, "VIABLE", "LOSS")</f>
        <v>VIABLE</v>
      </c>
    </row>
    <row r="9" customFormat="false" ht="15" hidden="false" customHeight="true" outlineLevel="0" collapsed="false">
      <c r="A9" s="7" t="n">
        <v>1000</v>
      </c>
      <c r="B9" s="1" t="n">
        <f aca="false">A9*0.024</f>
        <v>24</v>
      </c>
      <c r="C9" s="1" t="n">
        <f aca="false">IF(A9=0, 0, B9/A9)</f>
        <v>0.024</v>
      </c>
      <c r="D9" s="1" t="n">
        <f aca="false">A9*0.03</f>
        <v>30</v>
      </c>
      <c r="E9" s="1" t="n">
        <f aca="false">A9*0.025</f>
        <v>25</v>
      </c>
      <c r="F9" s="1" t="n">
        <f aca="false">E9-B9</f>
        <v>1</v>
      </c>
      <c r="G9" s="1" t="n">
        <f aca="false">F9/A9</f>
        <v>0.001</v>
      </c>
      <c r="H9" s="1" t="n">
        <f aca="false">MIN(E9, 20)</f>
        <v>20</v>
      </c>
      <c r="I9" s="1" t="n">
        <f aca="false">H9-B9</f>
        <v>-4</v>
      </c>
      <c r="J9" s="8" t="str">
        <f aca="false">IF(I9&gt;0, "VIABLE", "LOSS")</f>
        <v>LOSS</v>
      </c>
    </row>
    <row r="10" customFormat="false" ht="15" hidden="false" customHeight="true" outlineLevel="0" collapsed="false">
      <c r="A10" s="7" t="n">
        <v>1500</v>
      </c>
      <c r="B10" s="1" t="n">
        <f aca="false">A10*0.024</f>
        <v>36</v>
      </c>
      <c r="C10" s="1" t="n">
        <f aca="false">IF(A10=0, 0, B10/A10)</f>
        <v>0.024</v>
      </c>
      <c r="D10" s="1" t="n">
        <f aca="false">A10*0.03</f>
        <v>45</v>
      </c>
      <c r="E10" s="1" t="n">
        <f aca="false">A10*0.025</f>
        <v>37.5</v>
      </c>
      <c r="F10" s="1" t="n">
        <f aca="false">E10-B10</f>
        <v>1.5</v>
      </c>
      <c r="G10" s="1" t="n">
        <f aca="false">F10/A10</f>
        <v>0.001</v>
      </c>
      <c r="H10" s="1" t="n">
        <f aca="false">MIN(E10, 20)</f>
        <v>20</v>
      </c>
      <c r="I10" s="1" t="n">
        <f aca="false">H10-B10</f>
        <v>-16</v>
      </c>
      <c r="J10" s="8" t="str">
        <f aca="false">IF(I10&gt;0, "VIABLE", "LOSS")</f>
        <v>LOSS</v>
      </c>
    </row>
    <row r="11" customFormat="false" ht="15" hidden="false" customHeight="true" outlineLevel="0" collapsed="false">
      <c r="A11" s="7" t="n">
        <v>2000</v>
      </c>
      <c r="B11" s="1" t="n">
        <f aca="false">A11*0.024</f>
        <v>48</v>
      </c>
      <c r="C11" s="1" t="n">
        <f aca="false">IF(A11=0, 0, B11/A11)</f>
        <v>0.024</v>
      </c>
      <c r="D11" s="1" t="n">
        <f aca="false">A11*0.03</f>
        <v>60</v>
      </c>
      <c r="E11" s="1" t="n">
        <f aca="false">A11*0.025</f>
        <v>50</v>
      </c>
      <c r="F11" s="1" t="n">
        <f aca="false">E11-B11</f>
        <v>2</v>
      </c>
      <c r="G11" s="1" t="n">
        <f aca="false">F11/A11</f>
        <v>0.001</v>
      </c>
      <c r="H11" s="1" t="n">
        <f aca="false">MIN(E11, 20)</f>
        <v>20</v>
      </c>
      <c r="I11" s="1" t="n">
        <f aca="false">H11-B11</f>
        <v>-28</v>
      </c>
      <c r="J11" s="8" t="str">
        <f aca="false">IF(I11&gt;0, "VIABLE", "LOSS")</f>
        <v>LOSS</v>
      </c>
    </row>
    <row r="12" customFormat="false" ht="15" hidden="false" customHeight="true" outlineLevel="0" collapsed="false">
      <c r="A12" s="7" t="n">
        <v>3000</v>
      </c>
      <c r="B12" s="1" t="n">
        <f aca="false">A12*0.024</f>
        <v>72</v>
      </c>
      <c r="C12" s="1" t="n">
        <f aca="false">IF(A12=0, 0, B12/A12)</f>
        <v>0.024</v>
      </c>
      <c r="D12" s="1" t="n">
        <f aca="false">A12*0.03</f>
        <v>90</v>
      </c>
      <c r="E12" s="1" t="n">
        <f aca="false">A12*0.025</f>
        <v>75</v>
      </c>
      <c r="F12" s="1" t="n">
        <f aca="false">E12-B12</f>
        <v>3</v>
      </c>
      <c r="G12" s="1" t="n">
        <f aca="false">F12/A12</f>
        <v>0.001</v>
      </c>
      <c r="H12" s="1" t="n">
        <f aca="false">MIN(E12, 20)</f>
        <v>20</v>
      </c>
      <c r="I12" s="1" t="n">
        <f aca="false">H12-B12</f>
        <v>-52</v>
      </c>
      <c r="J12" s="8" t="str">
        <f aca="false">IF(I12&gt;0, "VIABLE", "LOSS")</f>
        <v>LOSS</v>
      </c>
    </row>
    <row r="13" customFormat="false" ht="15" hidden="false" customHeight="true" outlineLevel="0" collapsed="false">
      <c r="A13" s="7" t="n">
        <v>5000</v>
      </c>
      <c r="B13" s="1" t="n">
        <f aca="false">A13*0.024</f>
        <v>120</v>
      </c>
      <c r="C13" s="1" t="n">
        <f aca="false">IF(A13=0, 0, B13/A13)</f>
        <v>0.024</v>
      </c>
      <c r="D13" s="1" t="n">
        <f aca="false">A13*0.03</f>
        <v>150</v>
      </c>
      <c r="E13" s="1" t="n">
        <f aca="false">A13*0.025</f>
        <v>125</v>
      </c>
      <c r="F13" s="1" t="n">
        <f aca="false">E13-B13</f>
        <v>5</v>
      </c>
      <c r="G13" s="1" t="n">
        <f aca="false">F13/A13</f>
        <v>0.001</v>
      </c>
      <c r="H13" s="1" t="n">
        <f aca="false">MIN(E13, 20)</f>
        <v>20</v>
      </c>
      <c r="I13" s="1" t="n">
        <f aca="false">H13-B13</f>
        <v>-100</v>
      </c>
      <c r="J13" s="8" t="str">
        <f aca="false">IF(I13&gt;0, "VIABLE", "LOSS")</f>
        <v>LOSS</v>
      </c>
    </row>
    <row r="14" customFormat="false" ht="15" hidden="false" customHeight="true" outlineLevel="0" collapsed="false">
      <c r="A14" s="7" t="n">
        <v>10000</v>
      </c>
      <c r="B14" s="1" t="n">
        <f aca="false">A14*0.024</f>
        <v>240</v>
      </c>
      <c r="C14" s="1" t="n">
        <f aca="false">IF(A14=0, 0, B14/A14)</f>
        <v>0.024</v>
      </c>
      <c r="D14" s="1" t="n">
        <f aca="false">A14*0.03</f>
        <v>300</v>
      </c>
      <c r="E14" s="1" t="n">
        <f aca="false">A14*0.025</f>
        <v>250</v>
      </c>
      <c r="F14" s="1" t="n">
        <f aca="false">E14-B14</f>
        <v>10</v>
      </c>
      <c r="G14" s="1" t="n">
        <f aca="false">F14/A14</f>
        <v>0.001</v>
      </c>
      <c r="H14" s="1" t="n">
        <f aca="false">MIN(E14, 20)</f>
        <v>20</v>
      </c>
      <c r="I14" s="1" t="n">
        <f aca="false">H14-B14</f>
        <v>-220</v>
      </c>
      <c r="J14" s="8" t="str">
        <f aca="false">IF(I14&gt;0, "VIABLE", "LOSS")</f>
        <v>LOSS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4"/>
    <col collapsed="false" customWidth="true" hidden="false" outlineLevel="0" max="8" min="8" style="1" width="10"/>
    <col collapsed="false" customWidth="true" hidden="false" outlineLevel="0" max="9" min="9" style="1" width="25"/>
  </cols>
  <sheetData>
    <row r="1" customFormat="false" ht="19.5" hidden="false" customHeight="true" outlineLevel="0" collapsed="false">
      <c r="A1" s="2" t="s">
        <v>41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3" t="s">
        <v>42</v>
      </c>
    </row>
    <row r="4" customFormat="false" ht="15" hidden="false" customHeight="tru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40</v>
      </c>
      <c r="I4" s="4" t="s">
        <v>6</v>
      </c>
    </row>
    <row r="5" customFormat="false" ht="15" hidden="false" customHeight="true" outlineLevel="0" collapsed="false">
      <c r="A5" s="7" t="s">
        <v>50</v>
      </c>
      <c r="B5" s="1" t="n">
        <v>1.8</v>
      </c>
      <c r="C5" s="1" t="n">
        <v>5.5</v>
      </c>
      <c r="D5" s="1" t="n">
        <v>6</v>
      </c>
      <c r="E5" s="1" t="n">
        <f aca="false">AVERAGE(B5:D5)</f>
        <v>4.43333333333333</v>
      </c>
      <c r="F5" s="1" t="n">
        <v>2.5</v>
      </c>
      <c r="G5" s="1" t="n">
        <f aca="false">E5-F5</f>
        <v>1.93333333333333</v>
      </c>
      <c r="H5" s="1" t="str">
        <f aca="false">IF(G5&gt;2%, "TARGET", "SKIP")</f>
        <v>TARGET</v>
      </c>
      <c r="I5" s="1" t="s">
        <v>51</v>
      </c>
    </row>
    <row r="6" customFormat="false" ht="15" hidden="false" customHeight="true" outlineLevel="0" collapsed="false">
      <c r="A6" s="7" t="s">
        <v>52</v>
      </c>
      <c r="B6" s="1" t="n">
        <v>2.2</v>
      </c>
      <c r="C6" s="1" t="n">
        <v>6.5</v>
      </c>
      <c r="D6" s="1" t="n">
        <v>7.5</v>
      </c>
      <c r="E6" s="1" t="n">
        <f aca="false">AVERAGE(B6:D6)</f>
        <v>5.4</v>
      </c>
      <c r="F6" s="1" t="n">
        <v>2.5</v>
      </c>
      <c r="G6" s="1" t="n">
        <f aca="false">E6-F6</f>
        <v>2.9</v>
      </c>
      <c r="H6" s="1" t="str">
        <f aca="false">IF(G6&gt;2%, "TARGET", "SKIP")</f>
        <v>TARGET</v>
      </c>
      <c r="I6" s="1" t="s">
        <v>53</v>
      </c>
    </row>
    <row r="7" customFormat="false" ht="15" hidden="false" customHeight="true" outlineLevel="0" collapsed="false">
      <c r="A7" s="7" t="s">
        <v>54</v>
      </c>
      <c r="B7" s="1" t="n">
        <v>2.5</v>
      </c>
      <c r="C7" s="1" t="n">
        <v>6</v>
      </c>
      <c r="D7" s="1" t="n">
        <v>7</v>
      </c>
      <c r="E7" s="1" t="n">
        <f aca="false">AVERAGE(B7:D7)</f>
        <v>5.16666666666667</v>
      </c>
      <c r="F7" s="1" t="n">
        <v>2.5</v>
      </c>
      <c r="G7" s="1" t="n">
        <f aca="false">E7-F7</f>
        <v>2.66666666666667</v>
      </c>
      <c r="H7" s="1" t="str">
        <f aca="false">IF(G7&gt;2%, "TARGET", "SKIP")</f>
        <v>TARGET</v>
      </c>
      <c r="I7" s="1" t="s">
        <v>55</v>
      </c>
    </row>
    <row r="8" customFormat="false" ht="15" hidden="false" customHeight="true" outlineLevel="0" collapsed="false">
      <c r="A8" s="7" t="s">
        <v>56</v>
      </c>
      <c r="B8" s="1" t="n">
        <v>1.5</v>
      </c>
      <c r="C8" s="1" t="n">
        <v>5</v>
      </c>
      <c r="D8" s="1" t="n">
        <v>6.5</v>
      </c>
      <c r="E8" s="1" t="n">
        <f aca="false">AVERAGE(B8:D8)</f>
        <v>4.33333333333333</v>
      </c>
      <c r="F8" s="1" t="n">
        <v>2.5</v>
      </c>
      <c r="G8" s="1" t="n">
        <f aca="false">E8-F8</f>
        <v>1.83333333333333</v>
      </c>
      <c r="H8" s="1" t="str">
        <f aca="false">IF(G8&gt;2%, "TARGET", "SKIP")</f>
        <v>TARGET</v>
      </c>
      <c r="I8" s="1" t="s">
        <v>57</v>
      </c>
    </row>
    <row r="9" customFormat="false" ht="15" hidden="false" customHeight="true" outlineLevel="0" collapsed="false">
      <c r="A9" s="7" t="s">
        <v>58</v>
      </c>
      <c r="B9" s="1" t="n">
        <v>1.2</v>
      </c>
      <c r="C9" s="1" t="n">
        <v>4</v>
      </c>
      <c r="D9" s="1" t="n">
        <v>5.5</v>
      </c>
      <c r="E9" s="1" t="n">
        <f aca="false">AVERAGE(B9:D9)</f>
        <v>3.56666666666667</v>
      </c>
      <c r="F9" s="1" t="n">
        <v>2.5</v>
      </c>
      <c r="G9" s="1" t="n">
        <f aca="false">E9-F9</f>
        <v>1.06666666666667</v>
      </c>
      <c r="H9" s="1" t="str">
        <f aca="false">IF(G9&gt;2%, "TARGET", "SKIP")</f>
        <v>TARGET</v>
      </c>
      <c r="I9" s="1" t="s">
        <v>57</v>
      </c>
    </row>
    <row r="10" customFormat="false" ht="15" hidden="false" customHeight="true" outlineLevel="0" collapsed="false">
      <c r="A10" s="7" t="s">
        <v>59</v>
      </c>
      <c r="B10" s="1" t="n">
        <v>3</v>
      </c>
      <c r="C10" s="1" t="n">
        <v>7</v>
      </c>
      <c r="D10" s="1" t="n">
        <v>8.5</v>
      </c>
      <c r="E10" s="1" t="n">
        <f aca="false">AVERAGE(B10:D10)</f>
        <v>6.16666666666667</v>
      </c>
      <c r="F10" s="1" t="n">
        <v>2.5</v>
      </c>
      <c r="G10" s="1" t="n">
        <f aca="false">E10-F10</f>
        <v>3.66666666666667</v>
      </c>
      <c r="H10" s="1" t="str">
        <f aca="false">IF(G10&gt;2%, "TARGET", "SKIP")</f>
        <v>TARGET</v>
      </c>
      <c r="I10" s="1" t="s">
        <v>60</v>
      </c>
    </row>
    <row r="11" customFormat="false" ht="15" hidden="false" customHeight="true" outlineLevel="0" collapsed="false">
      <c r="A11" s="7" t="s">
        <v>61</v>
      </c>
      <c r="B11" s="1" t="n">
        <v>4.5</v>
      </c>
      <c r="C11" s="1" t="n">
        <v>9</v>
      </c>
      <c r="D11" s="1" t="n">
        <v>10</v>
      </c>
      <c r="E11" s="1" t="n">
        <f aca="false">AVERAGE(B11:D11)</f>
        <v>7.83333333333333</v>
      </c>
      <c r="F11" s="1" t="n">
        <v>2.5</v>
      </c>
      <c r="G11" s="1" t="n">
        <f aca="false">E11-F11</f>
        <v>5.33333333333333</v>
      </c>
      <c r="H11" s="1" t="str">
        <f aca="false">IF(G11&gt;2%, "TARGET", "SKIP")</f>
        <v>TARGET</v>
      </c>
      <c r="I11" s="1" t="s">
        <v>62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1" width="18"/>
  </cols>
  <sheetData>
    <row r="1" customFormat="false" ht="19.5" hidden="false" customHeight="true" outlineLevel="0" collapsed="false">
      <c r="A1" s="2" t="s">
        <v>63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64</v>
      </c>
    </row>
    <row r="4" customFormat="false" ht="15" hidden="false" customHeight="true" outlineLevel="0" collapsed="false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40</v>
      </c>
      <c r="G4" s="4" t="s">
        <v>70</v>
      </c>
    </row>
    <row r="5" customFormat="false" ht="15" hidden="false" customHeight="true" outlineLevel="0" collapsed="false">
      <c r="A5" s="7" t="s">
        <v>71</v>
      </c>
      <c r="B5" s="1" t="n">
        <v>0.001</v>
      </c>
      <c r="C5" s="1" t="n">
        <f aca="false">0.005+0.008+B5+0.004+0.003</f>
        <v>0.021</v>
      </c>
      <c r="D5" s="1" t="n">
        <v>0.03</v>
      </c>
      <c r="E5" s="1" t="n">
        <f aca="false">D5-C5</f>
        <v>0.009</v>
      </c>
      <c r="F5" s="1" t="str">
        <f aca="false">IF(E5&gt;0.025, "HEALTHY", IF(E5&gt;0.02, "ACCEPTABLE", "WARNING"))</f>
        <v>WARNING</v>
      </c>
      <c r="G5" s="1" t="s">
        <v>72</v>
      </c>
    </row>
    <row r="6" customFormat="false" ht="15" hidden="false" customHeight="true" outlineLevel="0" collapsed="false">
      <c r="A6" s="7" t="s">
        <v>73</v>
      </c>
      <c r="B6" s="1" t="n">
        <v>0.0025</v>
      </c>
      <c r="C6" s="1" t="n">
        <f aca="false">0.005+0.008+B6+0.004+0.003</f>
        <v>0.0225</v>
      </c>
      <c r="D6" s="1" t="n">
        <v>0.03</v>
      </c>
      <c r="E6" s="1" t="n">
        <f aca="false">D6-C6</f>
        <v>0.0075</v>
      </c>
      <c r="F6" s="1" t="str">
        <f aca="false">IF(E6&gt;0.025, "HEALTHY", IF(E6&gt;0.02, "ACCEPTABLE", "WARNING"))</f>
        <v>WARNING</v>
      </c>
      <c r="G6" s="1" t="s">
        <v>74</v>
      </c>
    </row>
    <row r="7" customFormat="false" ht="15" hidden="false" customHeight="true" outlineLevel="0" collapsed="false">
      <c r="A7" s="7" t="s">
        <v>75</v>
      </c>
      <c r="B7" s="1" t="n">
        <v>0.005</v>
      </c>
      <c r="C7" s="1" t="n">
        <f aca="false">0.005+0.008+B7+0.004+0.003</f>
        <v>0.025</v>
      </c>
      <c r="D7" s="1" t="n">
        <v>0.03</v>
      </c>
      <c r="E7" s="1" t="n">
        <f aca="false">D7-C7</f>
        <v>0.005</v>
      </c>
      <c r="F7" s="1" t="str">
        <f aca="false">IF(E7&gt;0.025, "HEALTHY", IF(E7&gt;0.02, "ACCEPTABLE", "WARNING"))</f>
        <v>WARNING</v>
      </c>
      <c r="G7" s="1" t="s">
        <v>76</v>
      </c>
    </row>
    <row r="8" customFormat="false" ht="15" hidden="false" customHeight="true" outlineLevel="0" collapsed="false">
      <c r="A8" s="7" t="s">
        <v>77</v>
      </c>
      <c r="B8" s="1" t="n">
        <v>0.01</v>
      </c>
      <c r="C8" s="1" t="n">
        <f aca="false">0.005+0.008+B8+0.004+0.003</f>
        <v>0.03</v>
      </c>
      <c r="D8" s="1" t="n">
        <v>0.03</v>
      </c>
      <c r="E8" s="1" t="n">
        <f aca="false">D8-C8</f>
        <v>0</v>
      </c>
      <c r="F8" s="1" t="str">
        <f aca="false">IF(E8&gt;0.025, "HEALTHY", IF(E8&gt;0.02, "ACCEPTABLE", "WARNING"))</f>
        <v>WARNING</v>
      </c>
      <c r="G8" s="1" t="s">
        <v>78</v>
      </c>
    </row>
    <row r="10" customFormat="false" ht="15" hidden="false" customHeight="true" outlineLevel="0" collapsed="false">
      <c r="A10" s="9" t="s">
        <v>79</v>
      </c>
    </row>
    <row r="11" customFormat="false" ht="15" hidden="false" customHeight="true" outlineLevel="0" collapsed="false">
      <c r="A11" s="10" t="s">
        <v>65</v>
      </c>
      <c r="B11" s="10" t="s">
        <v>66</v>
      </c>
      <c r="C11" s="10" t="s">
        <v>67</v>
      </c>
      <c r="D11" s="10" t="s">
        <v>80</v>
      </c>
      <c r="E11" s="10" t="s">
        <v>69</v>
      </c>
      <c r="F11" s="10" t="s">
        <v>40</v>
      </c>
      <c r="G11" s="10" t="s">
        <v>81</v>
      </c>
    </row>
    <row r="12" customFormat="false" ht="15" hidden="false" customHeight="true" outlineLevel="0" collapsed="false">
      <c r="A12" s="7" t="s">
        <v>71</v>
      </c>
      <c r="B12" s="1" t="n">
        <v>0.001</v>
      </c>
      <c r="C12" s="1" t="n">
        <f aca="false">0.005+0.008+B12+0.004+0.003</f>
        <v>0.021</v>
      </c>
      <c r="D12" s="1" t="n">
        <v>0.025</v>
      </c>
      <c r="E12" s="1" t="n">
        <f aca="false">D12-C12</f>
        <v>0.004</v>
      </c>
      <c r="F12" s="1" t="str">
        <f aca="false">IF(E12&gt;0.005, "VIABLE", "LOSS")</f>
        <v>LOSS</v>
      </c>
      <c r="G12" s="1" t="str">
        <f aca="false">IF(E12&gt;0, "Can work", "Cannot work")</f>
        <v>Can work</v>
      </c>
    </row>
    <row r="13" customFormat="false" ht="15" hidden="false" customHeight="true" outlineLevel="0" collapsed="false">
      <c r="A13" s="7" t="s">
        <v>73</v>
      </c>
      <c r="B13" s="1" t="n">
        <v>0.0025</v>
      </c>
      <c r="C13" s="1" t="n">
        <f aca="false">0.005+0.008+B13+0.004+0.003</f>
        <v>0.0225</v>
      </c>
      <c r="D13" s="1" t="n">
        <v>0.025</v>
      </c>
      <c r="E13" s="1" t="n">
        <f aca="false">D13-C13</f>
        <v>0.0025</v>
      </c>
      <c r="F13" s="1" t="str">
        <f aca="false">IF(E13&gt;0.005, "VIABLE", "LOSS")</f>
        <v>LOSS</v>
      </c>
      <c r="G13" s="1" t="str">
        <f aca="false">IF(E13&gt;0, "Can work", "Cannot work")</f>
        <v>Can work</v>
      </c>
    </row>
    <row r="14" customFormat="false" ht="15" hidden="false" customHeight="true" outlineLevel="0" collapsed="false">
      <c r="A14" s="7" t="s">
        <v>75</v>
      </c>
      <c r="B14" s="1" t="n">
        <v>0.005</v>
      </c>
      <c r="C14" s="1" t="n">
        <f aca="false">0.005+0.008+B14+0.004+0.003</f>
        <v>0.025</v>
      </c>
      <c r="D14" s="1" t="n">
        <v>0.025</v>
      </c>
      <c r="E14" s="1" t="n">
        <f aca="false">D14-C14</f>
        <v>0</v>
      </c>
      <c r="F14" s="1" t="str">
        <f aca="false">IF(E14&gt;0.005, "VIABLE", "LOSS")</f>
        <v>LOSS</v>
      </c>
      <c r="G14" s="1" t="str">
        <f aca="false">IF(E14&gt;0, "Can work", "Cannot work")</f>
        <v>Cannot work</v>
      </c>
    </row>
    <row r="15" customFormat="false" ht="15" hidden="false" customHeight="true" outlineLevel="0" collapsed="false">
      <c r="A15" s="7" t="s">
        <v>77</v>
      </c>
      <c r="B15" s="1" t="n">
        <v>0.01</v>
      </c>
      <c r="C15" s="1" t="n">
        <f aca="false">0.005+0.008+B15+0.004+0.003</f>
        <v>0.03</v>
      </c>
      <c r="D15" s="1" t="n">
        <v>0.025</v>
      </c>
      <c r="E15" s="1" t="n">
        <f aca="false">D15-C15</f>
        <v>-0.005</v>
      </c>
      <c r="F15" s="1" t="str">
        <f aca="false">IF(E15&gt;0.005, "VIABLE", "LOSS")</f>
        <v>LOSS</v>
      </c>
      <c r="G15" s="1" t="str">
        <f aca="false">IF(E15&gt;0, "Cannot work", "Cannot work")</f>
        <v>Cannot work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1" width="16"/>
  </cols>
  <sheetData>
    <row r="1" customFormat="false" ht="19.5" hidden="false" customHeight="true" outlineLevel="0" collapsed="false">
      <c r="A1" s="2" t="s">
        <v>82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83</v>
      </c>
    </row>
    <row r="4" customFormat="false" ht="15" hidden="false" customHeight="true" outlineLevel="0" collapsed="false">
      <c r="A4" s="4" t="s">
        <v>31</v>
      </c>
      <c r="B4" s="4" t="s">
        <v>84</v>
      </c>
      <c r="C4" s="4" t="s">
        <v>38</v>
      </c>
      <c r="D4" s="4" t="s">
        <v>85</v>
      </c>
      <c r="E4" s="4" t="s">
        <v>32</v>
      </c>
      <c r="F4" s="4" t="s">
        <v>36</v>
      </c>
      <c r="G4" s="4" t="s">
        <v>86</v>
      </c>
      <c r="H4" s="4" t="s">
        <v>70</v>
      </c>
    </row>
    <row r="5" customFormat="false" ht="15" hidden="false" customHeight="true" outlineLevel="0" collapsed="false">
      <c r="A5" s="7" t="n">
        <v>200</v>
      </c>
      <c r="B5" s="1" t="n">
        <f aca="false">A5*0.025</f>
        <v>5</v>
      </c>
      <c r="C5" s="1" t="n">
        <f aca="false">MIN(B5, 20)</f>
        <v>5</v>
      </c>
      <c r="D5" s="1" t="n">
        <f aca="false">C5/A5</f>
        <v>0.025</v>
      </c>
      <c r="E5" s="1" t="n">
        <f aca="false">A5*0.024</f>
        <v>4.8</v>
      </c>
      <c r="F5" s="1" t="n">
        <f aca="false">C5-E5</f>
        <v>0.2</v>
      </c>
      <c r="G5" s="1" t="n">
        <f aca="false">F5/A5</f>
        <v>0.001</v>
      </c>
      <c r="H5" s="1" t="str">
        <f aca="false">IF(F5&lt;0, "LOSS", IF(G5&lt;0.005, "THIN", IF(G5&lt;0.01, "VIABLE", "GOOD")))</f>
        <v>THIN</v>
      </c>
    </row>
    <row r="6" customFormat="false" ht="15" hidden="false" customHeight="true" outlineLevel="0" collapsed="false">
      <c r="A6" s="7" t="n">
        <v>400</v>
      </c>
      <c r="B6" s="1" t="n">
        <f aca="false">A6*0.025</f>
        <v>10</v>
      </c>
      <c r="C6" s="1" t="n">
        <f aca="false">MIN(B6, 20)</f>
        <v>10</v>
      </c>
      <c r="D6" s="1" t="n">
        <f aca="false">C6/A6</f>
        <v>0.025</v>
      </c>
      <c r="E6" s="1" t="n">
        <f aca="false">A6*0.024</f>
        <v>9.6</v>
      </c>
      <c r="F6" s="1" t="n">
        <f aca="false">C6-E6</f>
        <v>0.4</v>
      </c>
      <c r="G6" s="1" t="n">
        <f aca="false">F6/A6</f>
        <v>0.001</v>
      </c>
      <c r="H6" s="1" t="str">
        <f aca="false">IF(F6&lt;0, "LOSS", IF(G6&lt;0.005, "THIN", IF(G6&lt;0.01, "VIABLE", "GOOD")))</f>
        <v>THIN</v>
      </c>
    </row>
    <row r="7" customFormat="false" ht="15" hidden="false" customHeight="true" outlineLevel="0" collapsed="false">
      <c r="A7" s="7" t="n">
        <v>600</v>
      </c>
      <c r="B7" s="1" t="n">
        <f aca="false">A7*0.025</f>
        <v>15</v>
      </c>
      <c r="C7" s="1" t="n">
        <f aca="false">MIN(B7, 20)</f>
        <v>15</v>
      </c>
      <c r="D7" s="1" t="n">
        <f aca="false">C7/A7</f>
        <v>0.025</v>
      </c>
      <c r="E7" s="1" t="n">
        <f aca="false">A7*0.024</f>
        <v>14.4</v>
      </c>
      <c r="F7" s="1" t="n">
        <f aca="false">C7-E7</f>
        <v>0.6</v>
      </c>
      <c r="G7" s="1" t="n">
        <f aca="false">F7/A7</f>
        <v>0.000999999999999999</v>
      </c>
      <c r="H7" s="1" t="str">
        <f aca="false">IF(F7&lt;0, "LOSS", IF(G7&lt;0.005, "THIN", IF(G7&lt;0.01, "VIABLE", "GOOD")))</f>
        <v>THIN</v>
      </c>
    </row>
    <row r="8" customFormat="false" ht="15" hidden="false" customHeight="true" outlineLevel="0" collapsed="false">
      <c r="A8" s="7" t="n">
        <v>800</v>
      </c>
      <c r="B8" s="1" t="n">
        <f aca="false">A8*0.025</f>
        <v>20</v>
      </c>
      <c r="C8" s="1" t="n">
        <f aca="false">MIN(B8, 20)</f>
        <v>20</v>
      </c>
      <c r="D8" s="1" t="n">
        <f aca="false">C8/A8</f>
        <v>0.025</v>
      </c>
      <c r="E8" s="1" t="n">
        <f aca="false">A8*0.024</f>
        <v>19.2</v>
      </c>
      <c r="F8" s="1" t="n">
        <f aca="false">C8-E8</f>
        <v>0.800000000000001</v>
      </c>
      <c r="G8" s="1" t="n">
        <f aca="false">F8/A8</f>
        <v>0.001</v>
      </c>
      <c r="H8" s="1" t="str">
        <f aca="false">IF(F8&lt;0, "LOSS", IF(G8&lt;0.005, "THIN", IF(G8&lt;0.01, "VIABLE", "GOOD")))</f>
        <v>THIN</v>
      </c>
    </row>
    <row r="9" customFormat="false" ht="15" hidden="false" customHeight="true" outlineLevel="0" collapsed="false">
      <c r="A9" s="7" t="n">
        <v>1000</v>
      </c>
      <c r="B9" s="1" t="n">
        <f aca="false">A9*0.025</f>
        <v>25</v>
      </c>
      <c r="C9" s="1" t="n">
        <f aca="false">MIN(B9, 20)</f>
        <v>20</v>
      </c>
      <c r="D9" s="1" t="n">
        <f aca="false">C9/A9</f>
        <v>0.02</v>
      </c>
      <c r="E9" s="1" t="n">
        <f aca="false">A9*0.024</f>
        <v>24</v>
      </c>
      <c r="F9" s="1" t="n">
        <f aca="false">C9-E9</f>
        <v>-4</v>
      </c>
      <c r="G9" s="1" t="n">
        <f aca="false">F9/A9</f>
        <v>-0.004</v>
      </c>
      <c r="H9" s="1" t="str">
        <f aca="false">IF(F9&lt;0, "LOSS", IF(G9&lt;0.005, "THIN", IF(G9&lt;0.01, "VIABLE", "GOOD")))</f>
        <v>LOSS</v>
      </c>
    </row>
    <row r="10" customFormat="false" ht="15" hidden="false" customHeight="true" outlineLevel="0" collapsed="false">
      <c r="A10" s="7" t="n">
        <v>1500</v>
      </c>
      <c r="B10" s="1" t="n">
        <f aca="false">A10*0.025</f>
        <v>37.5</v>
      </c>
      <c r="C10" s="1" t="n">
        <f aca="false">MIN(B10, 20)</f>
        <v>20</v>
      </c>
      <c r="D10" s="1" t="n">
        <f aca="false">C10/A10</f>
        <v>0.0133333333333333</v>
      </c>
      <c r="E10" s="1" t="n">
        <f aca="false">A10*0.024</f>
        <v>36</v>
      </c>
      <c r="F10" s="1" t="n">
        <f aca="false">C10-E10</f>
        <v>-16</v>
      </c>
      <c r="G10" s="1" t="n">
        <f aca="false">F10/A10</f>
        <v>-0.0106666666666667</v>
      </c>
      <c r="H10" s="1" t="str">
        <f aca="false">IF(F10&lt;0, "LOSS", IF(G10&lt;0.005, "THIN", IF(G10&lt;0.01, "VIABLE", "GOOD")))</f>
        <v>LOSS</v>
      </c>
    </row>
    <row r="11" customFormat="false" ht="15" hidden="false" customHeight="true" outlineLevel="0" collapsed="false">
      <c r="A11" s="7" t="n">
        <v>2000</v>
      </c>
      <c r="B11" s="1" t="n">
        <f aca="false">A11*0.025</f>
        <v>50</v>
      </c>
      <c r="C11" s="1" t="n">
        <f aca="false">MIN(B11, 20)</f>
        <v>20</v>
      </c>
      <c r="D11" s="1" t="n">
        <f aca="false">C11/A11</f>
        <v>0.01</v>
      </c>
      <c r="E11" s="1" t="n">
        <f aca="false">A11*0.024</f>
        <v>48</v>
      </c>
      <c r="F11" s="1" t="n">
        <f aca="false">C11-E11</f>
        <v>-28</v>
      </c>
      <c r="G11" s="1" t="n">
        <f aca="false">F11/A11</f>
        <v>-0.014</v>
      </c>
      <c r="H11" s="1" t="str">
        <f aca="false">IF(F11&lt;0, "LOSS", IF(G11&lt;0.005, "THIN", IF(G11&lt;0.01, "VIABLE", "GOOD")))</f>
        <v>LOSS</v>
      </c>
    </row>
    <row r="12" customFormat="false" ht="15" hidden="false" customHeight="true" outlineLevel="0" collapsed="false">
      <c r="A12" s="7" t="n">
        <v>3000</v>
      </c>
      <c r="B12" s="1" t="n">
        <f aca="false">A12*0.025</f>
        <v>75</v>
      </c>
      <c r="C12" s="1" t="n">
        <f aca="false">MIN(B12, 20)</f>
        <v>20</v>
      </c>
      <c r="D12" s="1" t="n">
        <f aca="false">C12/A12</f>
        <v>0.00666666666666667</v>
      </c>
      <c r="E12" s="1" t="n">
        <f aca="false">A12*0.024</f>
        <v>72</v>
      </c>
      <c r="F12" s="1" t="n">
        <f aca="false">C12-E12</f>
        <v>-52</v>
      </c>
      <c r="G12" s="1" t="n">
        <f aca="false">F12/A12</f>
        <v>-0.0173333333333333</v>
      </c>
      <c r="H12" s="1" t="str">
        <f aca="false">IF(F12&lt;0, "LOSS", IF(G12&lt;0.005, "THIN", IF(G12&lt;0.01, "VIABLE", "GOOD")))</f>
        <v>LOSS</v>
      </c>
    </row>
    <row r="13" customFormat="false" ht="15" hidden="false" customHeight="true" outlineLevel="0" collapsed="false">
      <c r="A13" s="7" t="n">
        <v>5000</v>
      </c>
      <c r="B13" s="1" t="n">
        <f aca="false">A13*0.025</f>
        <v>125</v>
      </c>
      <c r="C13" s="1" t="n">
        <f aca="false">MIN(B13, 20)</f>
        <v>20</v>
      </c>
      <c r="D13" s="1" t="n">
        <f aca="false">C13/A13</f>
        <v>0.004</v>
      </c>
      <c r="E13" s="1" t="n">
        <f aca="false">A13*0.024</f>
        <v>120</v>
      </c>
      <c r="F13" s="1" t="n">
        <f aca="false">C13-E13</f>
        <v>-100</v>
      </c>
      <c r="G13" s="1" t="n">
        <f aca="false">F13/A13</f>
        <v>-0.02</v>
      </c>
      <c r="H13" s="1" t="str">
        <f aca="false">IF(F13&lt;0, "LOSS", IF(G13&lt;0.005, "THIN", IF(G13&lt;0.01, "VIABLE", "GOOD")))</f>
        <v>LOSS</v>
      </c>
    </row>
    <row r="15" customFormat="false" ht="15" hidden="false" customHeight="true" outlineLevel="0" collapsed="false">
      <c r="A15" s="11" t="s">
        <v>87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true" outlineLevel="0" collapsed="false">
      <c r="A16" s="12" t="s">
        <v>88</v>
      </c>
      <c r="B16" s="12"/>
      <c r="C16" s="12"/>
      <c r="D16" s="12"/>
      <c r="E16" s="12"/>
      <c r="F16" s="12"/>
      <c r="G16" s="12"/>
      <c r="H16" s="12"/>
    </row>
  </sheetData>
  <mergeCells count="3">
    <mergeCell ref="A1:H1"/>
    <mergeCell ref="A15:H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0"/>
    <col collapsed="false" customWidth="true" hidden="false" outlineLevel="0" max="3" min="3" style="1" width="60"/>
    <col collapsed="false" customWidth="true" hidden="false" outlineLevel="0" max="4" min="4" style="1" width="20"/>
  </cols>
  <sheetData>
    <row r="1" customFormat="false" ht="19.5" hidden="false" customHeight="true" outlineLevel="0" collapsed="false">
      <c r="A1" s="2" t="s">
        <v>89</v>
      </c>
      <c r="B1" s="2"/>
      <c r="C1" s="2"/>
      <c r="D1" s="2"/>
    </row>
    <row r="3" customFormat="false" ht="17.25" hidden="false" customHeight="true" outlineLevel="0" collapsed="false">
      <c r="A3" s="13" t="s">
        <v>90</v>
      </c>
      <c r="B3" s="13"/>
      <c r="C3" s="13"/>
      <c r="D3" s="13"/>
    </row>
    <row r="6" customFormat="false" ht="15" hidden="false" customHeight="true" outlineLevel="0" collapsed="false">
      <c r="A6" s="5" t="s">
        <v>91</v>
      </c>
      <c r="B6" s="5" t="s">
        <v>40</v>
      </c>
      <c r="C6" s="5" t="s">
        <v>92</v>
      </c>
      <c r="D6" s="5" t="s">
        <v>93</v>
      </c>
    </row>
    <row r="7" customFormat="false" ht="15" hidden="false" customHeight="true" outlineLevel="0" collapsed="false">
      <c r="A7" s="1" t="s">
        <v>94</v>
      </c>
      <c r="B7" s="1" t="s">
        <v>95</v>
      </c>
      <c r="C7" s="1" t="s">
        <v>96</v>
      </c>
      <c r="D7" s="1" t="s">
        <v>97</v>
      </c>
    </row>
    <row r="8" customFormat="false" ht="15" hidden="false" customHeight="true" outlineLevel="0" collapsed="false">
      <c r="A8" s="1" t="s">
        <v>98</v>
      </c>
      <c r="B8" s="1" t="s">
        <v>99</v>
      </c>
      <c r="C8" s="1" t="s">
        <v>100</v>
      </c>
      <c r="D8" s="1" t="s">
        <v>101</v>
      </c>
    </row>
    <row r="9" customFormat="false" ht="15" hidden="false" customHeight="true" outlineLevel="0" collapsed="false">
      <c r="A9" s="1" t="s">
        <v>102</v>
      </c>
      <c r="B9" s="14" t="s">
        <v>103</v>
      </c>
      <c r="C9" s="1" t="s">
        <v>104</v>
      </c>
      <c r="D9" s="1" t="s">
        <v>105</v>
      </c>
    </row>
    <row r="10" customFormat="false" ht="15" hidden="false" customHeight="true" outlineLevel="0" collapsed="false">
      <c r="A10" s="1" t="s">
        <v>106</v>
      </c>
      <c r="B10" s="1" t="s">
        <v>107</v>
      </c>
      <c r="C10" s="1" t="s">
        <v>108</v>
      </c>
      <c r="D10" s="14" t="s">
        <v>109</v>
      </c>
    </row>
    <row r="12" customFormat="false" ht="15" hidden="false" customHeight="true" outlineLevel="0" collapsed="false">
      <c r="A12" s="15" t="s">
        <v>110</v>
      </c>
      <c r="B12" s="5"/>
      <c r="C12" s="5"/>
      <c r="D12" s="5"/>
    </row>
    <row r="13" customFormat="false" ht="15" hidden="false" customHeight="true" outlineLevel="0" collapsed="false">
      <c r="A13" s="1" t="s">
        <v>111</v>
      </c>
      <c r="B13" s="1" t="s">
        <v>112</v>
      </c>
      <c r="C13" s="1" t="s">
        <v>113</v>
      </c>
      <c r="D13" s="1" t="s">
        <v>114</v>
      </c>
    </row>
    <row r="14" customFormat="false" ht="15" hidden="false" customHeight="true" outlineLevel="0" collapsed="false">
      <c r="A14" s="1" t="s">
        <v>115</v>
      </c>
      <c r="B14" s="1" t="s">
        <v>116</v>
      </c>
      <c r="C14" s="1" t="s">
        <v>117</v>
      </c>
      <c r="D14" s="16" t="s">
        <v>118</v>
      </c>
    </row>
    <row r="15" customFormat="false" ht="15" hidden="false" customHeight="true" outlineLevel="0" collapsed="false">
      <c r="A15" s="1" t="s">
        <v>119</v>
      </c>
      <c r="B15" s="1" t="s">
        <v>120</v>
      </c>
      <c r="C15" s="1" t="s">
        <v>121</v>
      </c>
      <c r="D15" s="1" t="s">
        <v>122</v>
      </c>
    </row>
    <row r="17" customFormat="false" ht="15" hidden="false" customHeight="true" outlineLevel="0" collapsed="false">
      <c r="A17" s="1" t="s">
        <v>123</v>
      </c>
      <c r="B17" s="1" t="s">
        <v>124</v>
      </c>
      <c r="C17" s="1" t="s">
        <v>125</v>
      </c>
      <c r="D17" s="1" t="s">
        <v>126</v>
      </c>
    </row>
    <row r="18" customFormat="false" ht="15" hidden="false" customHeight="true" outlineLevel="0" collapsed="false">
      <c r="A18" s="5"/>
      <c r="B18" s="5"/>
      <c r="C18" s="5"/>
      <c r="D18" s="5"/>
    </row>
    <row r="19" customFormat="false" ht="15" hidden="false" customHeight="true" outlineLevel="0" collapsed="false">
      <c r="A19" s="1" t="s">
        <v>127</v>
      </c>
      <c r="B19" s="1" t="s">
        <v>128</v>
      </c>
      <c r="C19" s="14" t="s">
        <v>129</v>
      </c>
      <c r="D19" s="1" t="s">
        <v>130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2026-02-11T16:43:21Z</dcterms:created>
  <dc:creator>openpyxl</dc:creator>
  <dc:description/>
  <dc:language>en-US</dc:language>
  <cp:lastModifiedBy/>
  <dcterms:modified xsi:type="dcterms:W3CDTF">2026-02-11T16:43:54Z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